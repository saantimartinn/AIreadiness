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uint-my.sharepoint.com/personal/santiago_martin_itu_int/Documents/Documents/MyProjects/ai Indicator/ai-index-dashboard-main/data/raw/Skills &amp; Capacity Building/"/>
    </mc:Choice>
  </mc:AlternateContent>
  <xr:revisionPtr revIDLastSave="31" documentId="8_{EBA718C8-0751-4BB3-94EA-B57496538558}" xr6:coauthVersionLast="47" xr6:coauthVersionMax="47" xr10:uidLastSave="{9D842110-0DF7-43D3-9BBD-C6022D99A0E2}"/>
  <bookViews>
    <workbookView xWindow="-110" yWindow="-110" windowWidth="19420" windowHeight="10300" activeTab="2" xr2:uid="{00000000-000D-0000-FFFF-FFFF00000000}"/>
  </bookViews>
  <sheets>
    <sheet name="Data" sheetId="1" r:id="rId1"/>
    <sheet name="Series - Metadata" sheetId="2" r:id="rId2"/>
    <sheet name="GRADES" sheetId="3" r:id="rId3"/>
  </sheets>
  <definedNames>
    <definedName name="_xlnm._FilterDatabase" localSheetId="2" hidden="1">GRADES!$A$1:$D$273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3" l="1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3" i="3"/>
  <c r="E4" i="3"/>
  <c r="E5" i="3"/>
  <c r="E6" i="3"/>
  <c r="E7" i="3"/>
  <c r="E8" i="3"/>
  <c r="E9" i="3"/>
  <c r="E2" i="3"/>
  <c r="D2" i="3" a="1"/>
  <c r="D2" i="3" s="1"/>
  <c r="T8" i="1" a="1"/>
  <c r="T8" i="1" s="1"/>
  <c r="T9" i="1" a="1"/>
  <c r="T9" i="1" s="1"/>
  <c r="T10" i="1" a="1"/>
  <c r="T10" i="1" s="1"/>
  <c r="T11" i="1" a="1"/>
  <c r="T11" i="1"/>
  <c r="T12" i="1" a="1"/>
  <c r="T12" i="1" s="1"/>
  <c r="T13" i="1" a="1"/>
  <c r="T13" i="1" s="1"/>
  <c r="T14" i="1" a="1"/>
  <c r="T14" i="1" s="1"/>
  <c r="T15" i="1" a="1"/>
  <c r="T15" i="1"/>
  <c r="T16" i="1" a="1"/>
  <c r="T16" i="1" s="1"/>
  <c r="T17" i="1" a="1"/>
  <c r="T17" i="1" s="1"/>
  <c r="T18" i="1" a="1"/>
  <c r="T18" i="1" s="1"/>
  <c r="T19" i="1" a="1"/>
  <c r="T19" i="1"/>
  <c r="T20" i="1" a="1"/>
  <c r="T20" i="1" s="1"/>
  <c r="T21" i="1" a="1"/>
  <c r="T21" i="1" s="1"/>
  <c r="T22" i="1" a="1"/>
  <c r="T22" i="1" s="1"/>
  <c r="T23" i="1" a="1"/>
  <c r="T23" i="1"/>
  <c r="T24" i="1" a="1"/>
  <c r="T24" i="1" s="1"/>
  <c r="T25" i="1" a="1"/>
  <c r="T25" i="1" s="1"/>
  <c r="T26" i="1" a="1"/>
  <c r="T26" i="1" s="1"/>
  <c r="T27" i="1" a="1"/>
  <c r="T27" i="1"/>
  <c r="T28" i="1" a="1"/>
  <c r="T28" i="1" s="1"/>
  <c r="T29" i="1" a="1"/>
  <c r="T29" i="1" s="1"/>
  <c r="T30" i="1" a="1"/>
  <c r="T30" i="1" s="1"/>
  <c r="T31" i="1" a="1"/>
  <c r="T31" i="1"/>
  <c r="T32" i="1" a="1"/>
  <c r="T32" i="1" s="1"/>
  <c r="T33" i="1" a="1"/>
  <c r="T33" i="1" s="1"/>
  <c r="T34" i="1" a="1"/>
  <c r="T34" i="1" s="1"/>
  <c r="T35" i="1" a="1"/>
  <c r="T35" i="1"/>
  <c r="T36" i="1" a="1"/>
  <c r="T36" i="1" s="1"/>
  <c r="T37" i="1" a="1"/>
  <c r="T37" i="1" s="1"/>
  <c r="T38" i="1" a="1"/>
  <c r="T38" i="1" s="1"/>
  <c r="T39" i="1" a="1"/>
  <c r="T39" i="1"/>
  <c r="T40" i="1" a="1"/>
  <c r="T40" i="1" s="1"/>
  <c r="T41" i="1" a="1"/>
  <c r="T41" i="1" s="1"/>
  <c r="T42" i="1" a="1"/>
  <c r="T42" i="1" s="1"/>
  <c r="T43" i="1" a="1"/>
  <c r="T43" i="1"/>
  <c r="T44" i="1" a="1"/>
  <c r="T44" i="1" s="1"/>
  <c r="T45" i="1" a="1"/>
  <c r="T45" i="1" s="1"/>
  <c r="T46" i="1" a="1"/>
  <c r="T46" i="1" s="1"/>
  <c r="T47" i="1" a="1"/>
  <c r="T47" i="1"/>
  <c r="T48" i="1" a="1"/>
  <c r="T48" i="1" s="1"/>
  <c r="T49" i="1" a="1"/>
  <c r="T49" i="1" s="1"/>
  <c r="T50" i="1" a="1"/>
  <c r="T50" i="1" s="1"/>
  <c r="T51" i="1" a="1"/>
  <c r="T51" i="1"/>
  <c r="T52" i="1" a="1"/>
  <c r="T52" i="1" s="1"/>
  <c r="T53" i="1" a="1"/>
  <c r="T53" i="1" s="1"/>
  <c r="T54" i="1" a="1"/>
  <c r="T54" i="1" s="1"/>
  <c r="T55" i="1" a="1"/>
  <c r="T55" i="1"/>
  <c r="T56" i="1" a="1"/>
  <c r="T56" i="1" s="1"/>
  <c r="T57" i="1" a="1"/>
  <c r="T57" i="1" s="1"/>
  <c r="T58" i="1" a="1"/>
  <c r="T58" i="1" s="1"/>
  <c r="T59" i="1" a="1"/>
  <c r="T59" i="1"/>
  <c r="T60" i="1" a="1"/>
  <c r="T60" i="1" s="1"/>
  <c r="T61" i="1" a="1"/>
  <c r="T61" i="1" s="1"/>
  <c r="T62" i="1" a="1"/>
  <c r="T62" i="1" s="1"/>
  <c r="T63" i="1" a="1"/>
  <c r="T63" i="1"/>
  <c r="T64" i="1" a="1"/>
  <c r="T64" i="1" s="1"/>
  <c r="T65" i="1" a="1"/>
  <c r="T65" i="1" s="1"/>
  <c r="T66" i="1" a="1"/>
  <c r="T66" i="1" s="1"/>
  <c r="T67" i="1" a="1"/>
  <c r="T67" i="1"/>
  <c r="T68" i="1" a="1"/>
  <c r="T68" i="1" s="1"/>
  <c r="T69" i="1" a="1"/>
  <c r="T69" i="1" s="1"/>
  <c r="T70" i="1" a="1"/>
  <c r="T70" i="1" s="1"/>
  <c r="T71" i="1" a="1"/>
  <c r="T71" i="1"/>
  <c r="T72" i="1" a="1"/>
  <c r="T72" i="1" s="1"/>
  <c r="T73" i="1" a="1"/>
  <c r="T73" i="1" s="1"/>
  <c r="T74" i="1" a="1"/>
  <c r="T74" i="1" s="1"/>
  <c r="T75" i="1" a="1"/>
  <c r="T75" i="1"/>
  <c r="T76" i="1" a="1"/>
  <c r="T76" i="1" s="1"/>
  <c r="T77" i="1" a="1"/>
  <c r="T77" i="1" s="1"/>
  <c r="T78" i="1" a="1"/>
  <c r="T78" i="1" s="1"/>
  <c r="T79" i="1" a="1"/>
  <c r="T79" i="1"/>
  <c r="T80" i="1" a="1"/>
  <c r="T80" i="1" s="1"/>
  <c r="T81" i="1" a="1"/>
  <c r="T81" i="1" s="1"/>
  <c r="T82" i="1" a="1"/>
  <c r="T82" i="1" s="1"/>
  <c r="T83" i="1" a="1"/>
  <c r="T83" i="1"/>
  <c r="T84" i="1" a="1"/>
  <c r="T84" i="1" s="1"/>
  <c r="T85" i="1" a="1"/>
  <c r="T85" i="1" s="1"/>
  <c r="T86" i="1" a="1"/>
  <c r="T86" i="1" s="1"/>
  <c r="T87" i="1" a="1"/>
  <c r="T87" i="1"/>
  <c r="T88" i="1" a="1"/>
  <c r="T88" i="1" s="1"/>
  <c r="T89" i="1" a="1"/>
  <c r="T89" i="1" s="1"/>
  <c r="T90" i="1" a="1"/>
  <c r="T90" i="1" s="1"/>
  <c r="T91" i="1" a="1"/>
  <c r="T91" i="1"/>
  <c r="T92" i="1" a="1"/>
  <c r="T92" i="1" s="1"/>
  <c r="T93" i="1" a="1"/>
  <c r="T93" i="1" s="1"/>
  <c r="T94" i="1" a="1"/>
  <c r="T94" i="1" s="1"/>
  <c r="T95" i="1" a="1"/>
  <c r="T95" i="1"/>
  <c r="T96" i="1" a="1"/>
  <c r="T96" i="1" s="1"/>
  <c r="T97" i="1" a="1"/>
  <c r="T97" i="1" s="1"/>
  <c r="T98" i="1" a="1"/>
  <c r="T98" i="1" s="1"/>
  <c r="T99" i="1" a="1"/>
  <c r="T99" i="1"/>
  <c r="T100" i="1" a="1"/>
  <c r="T100" i="1" s="1"/>
  <c r="T101" i="1" a="1"/>
  <c r="T101" i="1" s="1"/>
  <c r="T102" i="1" a="1"/>
  <c r="T102" i="1" s="1"/>
  <c r="T103" i="1" a="1"/>
  <c r="T103" i="1"/>
  <c r="T104" i="1" a="1"/>
  <c r="T104" i="1" s="1"/>
  <c r="T105" i="1" a="1"/>
  <c r="T105" i="1" s="1"/>
  <c r="T106" i="1" a="1"/>
  <c r="T106" i="1" s="1"/>
  <c r="T107" i="1" a="1"/>
  <c r="T107" i="1"/>
  <c r="T108" i="1" a="1"/>
  <c r="T108" i="1" s="1"/>
  <c r="T109" i="1" a="1"/>
  <c r="T109" i="1" s="1"/>
  <c r="T110" i="1" a="1"/>
  <c r="T110" i="1" s="1"/>
  <c r="T111" i="1" a="1"/>
  <c r="T111" i="1"/>
  <c r="T112" i="1" a="1"/>
  <c r="T112" i="1" s="1"/>
  <c r="T113" i="1" a="1"/>
  <c r="T113" i="1" s="1"/>
  <c r="T114" i="1" a="1"/>
  <c r="T114" i="1" s="1"/>
  <c r="T115" i="1" a="1"/>
  <c r="T115" i="1"/>
  <c r="T116" i="1" a="1"/>
  <c r="T116" i="1" s="1"/>
  <c r="T117" i="1" a="1"/>
  <c r="T117" i="1" s="1"/>
  <c r="T118" i="1" a="1"/>
  <c r="T118" i="1" s="1"/>
  <c r="T119" i="1" a="1"/>
  <c r="T119" i="1"/>
  <c r="T120" i="1" a="1"/>
  <c r="T120" i="1" s="1"/>
  <c r="T121" i="1" a="1"/>
  <c r="T121" i="1" s="1"/>
  <c r="T122" i="1" a="1"/>
  <c r="T122" i="1" s="1"/>
  <c r="T123" i="1" a="1"/>
  <c r="T123" i="1"/>
  <c r="T124" i="1" a="1"/>
  <c r="T124" i="1" s="1"/>
  <c r="T125" i="1" a="1"/>
  <c r="T125" i="1" s="1"/>
  <c r="T126" i="1" a="1"/>
  <c r="T126" i="1" s="1"/>
  <c r="T127" i="1" a="1"/>
  <c r="T127" i="1"/>
  <c r="T128" i="1" a="1"/>
  <c r="T128" i="1" s="1"/>
  <c r="T129" i="1" a="1"/>
  <c r="T129" i="1" s="1"/>
  <c r="T130" i="1" a="1"/>
  <c r="T130" i="1" s="1"/>
  <c r="T131" i="1" a="1"/>
  <c r="T131" i="1"/>
  <c r="T132" i="1" a="1"/>
  <c r="T132" i="1" s="1"/>
  <c r="T133" i="1" a="1"/>
  <c r="T133" i="1" s="1"/>
  <c r="T134" i="1" a="1"/>
  <c r="T134" i="1" s="1"/>
  <c r="T135" i="1" a="1"/>
  <c r="T135" i="1"/>
  <c r="T136" i="1" a="1"/>
  <c r="T136" i="1" s="1"/>
  <c r="T137" i="1" a="1"/>
  <c r="T137" i="1" s="1"/>
  <c r="T138" i="1" a="1"/>
  <c r="T138" i="1" s="1"/>
  <c r="T139" i="1" a="1"/>
  <c r="T139" i="1"/>
  <c r="T140" i="1" a="1"/>
  <c r="T140" i="1" s="1"/>
  <c r="T141" i="1" a="1"/>
  <c r="T141" i="1" s="1"/>
  <c r="T142" i="1" a="1"/>
  <c r="T142" i="1" s="1"/>
  <c r="T143" i="1" a="1"/>
  <c r="T143" i="1"/>
  <c r="T144" i="1" a="1"/>
  <c r="T144" i="1" s="1"/>
  <c r="T145" i="1" a="1"/>
  <c r="T145" i="1" s="1"/>
  <c r="T146" i="1" a="1"/>
  <c r="T146" i="1" s="1"/>
  <c r="T147" i="1" a="1"/>
  <c r="T147" i="1"/>
  <c r="T148" i="1" a="1"/>
  <c r="T148" i="1" s="1"/>
  <c r="T149" i="1" a="1"/>
  <c r="T149" i="1" s="1"/>
  <c r="T150" i="1" a="1"/>
  <c r="T150" i="1" s="1"/>
  <c r="T151" i="1" a="1"/>
  <c r="T151" i="1"/>
  <c r="T152" i="1" a="1"/>
  <c r="T152" i="1" s="1"/>
  <c r="T153" i="1" a="1"/>
  <c r="T153" i="1" s="1"/>
  <c r="T154" i="1" a="1"/>
  <c r="T154" i="1" s="1"/>
  <c r="T155" i="1" a="1"/>
  <c r="T155" i="1"/>
  <c r="T156" i="1" a="1"/>
  <c r="T156" i="1" s="1"/>
  <c r="T157" i="1" a="1"/>
  <c r="T157" i="1" s="1"/>
  <c r="T158" i="1" a="1"/>
  <c r="T158" i="1" s="1"/>
  <c r="T159" i="1" a="1"/>
  <c r="T159" i="1"/>
  <c r="T160" i="1" a="1"/>
  <c r="T160" i="1" s="1"/>
  <c r="T161" i="1" a="1"/>
  <c r="T161" i="1" s="1"/>
  <c r="T162" i="1" a="1"/>
  <c r="T162" i="1" s="1"/>
  <c r="T163" i="1" a="1"/>
  <c r="T163" i="1"/>
  <c r="T164" i="1" a="1"/>
  <c r="T164" i="1" s="1"/>
  <c r="T165" i="1" a="1"/>
  <c r="T165" i="1" s="1"/>
  <c r="T166" i="1" a="1"/>
  <c r="T166" i="1" s="1"/>
  <c r="T167" i="1" a="1"/>
  <c r="T167" i="1"/>
  <c r="T168" i="1" a="1"/>
  <c r="T168" i="1" s="1"/>
  <c r="T169" i="1" a="1"/>
  <c r="T169" i="1" s="1"/>
  <c r="T170" i="1" a="1"/>
  <c r="T170" i="1" s="1"/>
  <c r="T171" i="1" a="1"/>
  <c r="T171" i="1"/>
  <c r="T172" i="1" a="1"/>
  <c r="T172" i="1" s="1"/>
  <c r="T173" i="1" a="1"/>
  <c r="T173" i="1" s="1"/>
  <c r="T174" i="1" a="1"/>
  <c r="T174" i="1" s="1"/>
  <c r="T175" i="1" a="1"/>
  <c r="T175" i="1"/>
  <c r="T176" i="1" a="1"/>
  <c r="T176" i="1" s="1"/>
  <c r="T177" i="1" a="1"/>
  <c r="T177" i="1" s="1"/>
  <c r="T178" i="1" a="1"/>
  <c r="T178" i="1" s="1"/>
  <c r="T179" i="1" a="1"/>
  <c r="T179" i="1"/>
  <c r="T180" i="1" a="1"/>
  <c r="T180" i="1" s="1"/>
  <c r="T181" i="1" a="1"/>
  <c r="T181" i="1" s="1"/>
  <c r="T182" i="1" a="1"/>
  <c r="T182" i="1" s="1"/>
  <c r="T183" i="1" a="1"/>
  <c r="T183" i="1"/>
  <c r="T184" i="1" a="1"/>
  <c r="T184" i="1" s="1"/>
  <c r="T185" i="1" a="1"/>
  <c r="T185" i="1" s="1"/>
  <c r="T186" i="1" a="1"/>
  <c r="T186" i="1" s="1"/>
  <c r="T187" i="1" a="1"/>
  <c r="T187" i="1"/>
  <c r="T188" i="1" a="1"/>
  <c r="T188" i="1" s="1"/>
  <c r="T189" i="1" a="1"/>
  <c r="T189" i="1" s="1"/>
  <c r="T190" i="1" a="1"/>
  <c r="T190" i="1" s="1"/>
  <c r="T191" i="1" a="1"/>
  <c r="T191" i="1"/>
  <c r="T192" i="1" a="1"/>
  <c r="T192" i="1" s="1"/>
  <c r="T193" i="1" a="1"/>
  <c r="T193" i="1" s="1"/>
  <c r="T194" i="1" a="1"/>
  <c r="T194" i="1" s="1"/>
  <c r="T195" i="1" a="1"/>
  <c r="T195" i="1"/>
  <c r="T196" i="1" a="1"/>
  <c r="T196" i="1" s="1"/>
  <c r="T197" i="1" a="1"/>
  <c r="T197" i="1" s="1"/>
  <c r="T198" i="1" a="1"/>
  <c r="T198" i="1" s="1"/>
  <c r="T199" i="1" a="1"/>
  <c r="T199" i="1"/>
  <c r="T200" i="1" a="1"/>
  <c r="T200" i="1" s="1"/>
  <c r="T201" i="1" a="1"/>
  <c r="T201" i="1" s="1"/>
  <c r="T202" i="1" a="1"/>
  <c r="T202" i="1" s="1"/>
  <c r="T203" i="1" a="1"/>
  <c r="T203" i="1"/>
  <c r="T204" i="1" a="1"/>
  <c r="T204" i="1" s="1"/>
  <c r="T205" i="1" a="1"/>
  <c r="T205" i="1" s="1"/>
  <c r="T206" i="1" a="1"/>
  <c r="T206" i="1" s="1"/>
  <c r="T207" i="1" a="1"/>
  <c r="T207" i="1"/>
  <c r="T208" i="1" a="1"/>
  <c r="T208" i="1" s="1"/>
  <c r="T209" i="1" a="1"/>
  <c r="T209" i="1" s="1"/>
  <c r="T210" i="1" a="1"/>
  <c r="T210" i="1" s="1"/>
  <c r="T211" i="1" a="1"/>
  <c r="T211" i="1"/>
  <c r="T212" i="1" a="1"/>
  <c r="T212" i="1" s="1"/>
  <c r="T213" i="1" a="1"/>
  <c r="T213" i="1" s="1"/>
  <c r="T214" i="1" a="1"/>
  <c r="T214" i="1" s="1"/>
  <c r="T215" i="1" a="1"/>
  <c r="T215" i="1"/>
  <c r="T216" i="1" a="1"/>
  <c r="T216" i="1" s="1"/>
  <c r="T217" i="1" a="1"/>
  <c r="T217" i="1" s="1"/>
  <c r="T218" i="1" a="1"/>
  <c r="T218" i="1" s="1"/>
  <c r="T219" i="1" a="1"/>
  <c r="T219" i="1"/>
  <c r="T220" i="1" a="1"/>
  <c r="T220" i="1" s="1"/>
  <c r="T221" i="1" a="1"/>
  <c r="T221" i="1" s="1"/>
  <c r="T222" i="1" a="1"/>
  <c r="T222" i="1" s="1"/>
  <c r="T223" i="1" a="1"/>
  <c r="T223" i="1"/>
  <c r="T224" i="1" a="1"/>
  <c r="T224" i="1" s="1"/>
  <c r="T225" i="1" a="1"/>
  <c r="T225" i="1" s="1"/>
  <c r="T226" i="1" a="1"/>
  <c r="T226" i="1" s="1"/>
  <c r="T227" i="1" a="1"/>
  <c r="T227" i="1"/>
  <c r="T228" i="1" a="1"/>
  <c r="T228" i="1" s="1"/>
  <c r="T229" i="1" a="1"/>
  <c r="T229" i="1" s="1"/>
  <c r="T230" i="1" a="1"/>
  <c r="T230" i="1" s="1"/>
  <c r="T231" i="1" a="1"/>
  <c r="T231" i="1"/>
  <c r="T232" i="1" a="1"/>
  <c r="T232" i="1" s="1"/>
  <c r="T233" i="1" a="1"/>
  <c r="T233" i="1" s="1"/>
  <c r="T234" i="1" a="1"/>
  <c r="T234" i="1" s="1"/>
  <c r="T235" i="1" a="1"/>
  <c r="T235" i="1"/>
  <c r="T236" i="1" a="1"/>
  <c r="T236" i="1" s="1"/>
  <c r="T237" i="1" a="1"/>
  <c r="T237" i="1" s="1"/>
  <c r="T238" i="1" a="1"/>
  <c r="T238" i="1" s="1"/>
  <c r="T239" i="1" a="1"/>
  <c r="T239" i="1"/>
  <c r="T240" i="1" a="1"/>
  <c r="T240" i="1" s="1"/>
  <c r="T241" i="1" a="1"/>
  <c r="T241" i="1" s="1"/>
  <c r="T242" i="1" a="1"/>
  <c r="T242" i="1" s="1"/>
  <c r="T243" i="1" a="1"/>
  <c r="T243" i="1"/>
  <c r="T244" i="1" a="1"/>
  <c r="T244" i="1" s="1"/>
  <c r="T245" i="1" a="1"/>
  <c r="T245" i="1" s="1"/>
  <c r="T246" i="1" a="1"/>
  <c r="T246" i="1" s="1"/>
  <c r="T247" i="1" a="1"/>
  <c r="T247" i="1"/>
  <c r="T248" i="1" a="1"/>
  <c r="T248" i="1" s="1"/>
  <c r="T249" i="1" a="1"/>
  <c r="T249" i="1" s="1"/>
  <c r="T250" i="1" a="1"/>
  <c r="T250" i="1" s="1"/>
  <c r="T251" i="1" a="1"/>
  <c r="T251" i="1"/>
  <c r="T252" i="1" a="1"/>
  <c r="T252" i="1" s="1"/>
  <c r="T253" i="1" a="1"/>
  <c r="T253" i="1" s="1"/>
  <c r="T254" i="1" a="1"/>
  <c r="T254" i="1" s="1"/>
  <c r="T255" i="1" a="1"/>
  <c r="T255" i="1"/>
  <c r="T256" i="1" a="1"/>
  <c r="T256" i="1" s="1"/>
  <c r="T257" i="1" a="1"/>
  <c r="T257" i="1" s="1"/>
  <c r="T258" i="1" a="1"/>
  <c r="T258" i="1" s="1"/>
  <c r="T259" i="1" a="1"/>
  <c r="T259" i="1"/>
  <c r="T260" i="1" a="1"/>
  <c r="T260" i="1" s="1"/>
  <c r="T261" i="1" a="1"/>
  <c r="T261" i="1" s="1"/>
  <c r="T262" i="1" a="1"/>
  <c r="T262" i="1" s="1"/>
  <c r="T263" i="1" a="1"/>
  <c r="T263" i="1"/>
  <c r="T264" i="1" a="1"/>
  <c r="T264" i="1" s="1"/>
  <c r="T265" i="1" a="1"/>
  <c r="T265" i="1" s="1"/>
  <c r="T266" i="1" a="1"/>
  <c r="T266" i="1" s="1"/>
  <c r="T267" i="1" a="1"/>
  <c r="T267" i="1"/>
  <c r="T268" i="1" a="1"/>
  <c r="T268" i="1" s="1"/>
  <c r="T269" i="1" a="1"/>
  <c r="T269" i="1" s="1"/>
  <c r="T270" i="1" a="1"/>
  <c r="T270" i="1" s="1"/>
  <c r="T271" i="1" a="1"/>
  <c r="T271" i="1"/>
  <c r="T272" i="1" a="1"/>
  <c r="T272" i="1" s="1"/>
  <c r="T273" i="1" a="1"/>
  <c r="T273" i="1" s="1"/>
  <c r="T5" i="1" a="1"/>
  <c r="T5" i="1" s="1"/>
  <c r="T6" i="1" a="1"/>
  <c r="T6" i="1" s="1"/>
  <c r="T7" i="1" a="1"/>
  <c r="T7" i="1" s="1"/>
  <c r="T4" i="1" a="1"/>
  <c r="T4" i="1" s="1"/>
  <c r="T3" i="1" a="1"/>
  <c r="T3" i="1" s="1"/>
  <c r="S3" i="1" a="1"/>
  <c r="S3" i="1" s="1"/>
  <c r="S5" i="1" a="1"/>
  <c r="S5" i="1" s="1"/>
  <c r="S6" i="1" a="1"/>
  <c r="S6" i="1" s="1"/>
  <c r="S7" i="1" a="1"/>
  <c r="S7" i="1" s="1"/>
  <c r="S8" i="1" a="1"/>
  <c r="S8" i="1"/>
  <c r="S9" i="1" a="1"/>
  <c r="S9" i="1" s="1"/>
  <c r="S10" i="1" a="1"/>
  <c r="S10" i="1" s="1"/>
  <c r="S11" i="1" a="1"/>
  <c r="S11" i="1" s="1"/>
  <c r="S12" i="1" a="1"/>
  <c r="S12" i="1"/>
  <c r="S13" i="1" a="1"/>
  <c r="S13" i="1" s="1"/>
  <c r="S14" i="1" a="1"/>
  <c r="S14" i="1" s="1"/>
  <c r="S15" i="1" a="1"/>
  <c r="S15" i="1" s="1"/>
  <c r="S16" i="1" a="1"/>
  <c r="S16" i="1"/>
  <c r="S17" i="1" a="1"/>
  <c r="S17" i="1" s="1"/>
  <c r="S18" i="1" a="1"/>
  <c r="S18" i="1" s="1"/>
  <c r="S19" i="1" a="1"/>
  <c r="S19" i="1" s="1"/>
  <c r="S20" i="1" a="1"/>
  <c r="S20" i="1"/>
  <c r="S21" i="1" a="1"/>
  <c r="S21" i="1" s="1"/>
  <c r="S22" i="1" a="1"/>
  <c r="S22" i="1" s="1"/>
  <c r="S23" i="1" a="1"/>
  <c r="S23" i="1" s="1"/>
  <c r="S24" i="1" a="1"/>
  <c r="S24" i="1"/>
  <c r="S25" i="1" a="1"/>
  <c r="S25" i="1" s="1"/>
  <c r="S26" i="1" a="1"/>
  <c r="S26" i="1" s="1"/>
  <c r="S27" i="1" a="1"/>
  <c r="S27" i="1" s="1"/>
  <c r="S28" i="1" a="1"/>
  <c r="S28" i="1"/>
  <c r="S29" i="1" a="1"/>
  <c r="S29" i="1" s="1"/>
  <c r="S30" i="1" a="1"/>
  <c r="S30" i="1" s="1"/>
  <c r="S31" i="1" a="1"/>
  <c r="S31" i="1" s="1"/>
  <c r="S32" i="1" a="1"/>
  <c r="S32" i="1"/>
  <c r="S33" i="1" a="1"/>
  <c r="S33" i="1" s="1"/>
  <c r="S34" i="1" a="1"/>
  <c r="S34" i="1" s="1"/>
  <c r="S35" i="1" a="1"/>
  <c r="S35" i="1" s="1"/>
  <c r="S36" i="1" a="1"/>
  <c r="S36" i="1"/>
  <c r="S37" i="1" a="1"/>
  <c r="S37" i="1" s="1"/>
  <c r="S38" i="1" a="1"/>
  <c r="S38" i="1" s="1"/>
  <c r="S39" i="1" a="1"/>
  <c r="S39" i="1" s="1"/>
  <c r="S40" i="1" a="1"/>
  <c r="S40" i="1"/>
  <c r="S41" i="1" a="1"/>
  <c r="S41" i="1" s="1"/>
  <c r="S42" i="1" a="1"/>
  <c r="S42" i="1" s="1"/>
  <c r="S43" i="1" a="1"/>
  <c r="S43" i="1" s="1"/>
  <c r="S44" i="1" a="1"/>
  <c r="S44" i="1"/>
  <c r="S45" i="1" a="1"/>
  <c r="S45" i="1" s="1"/>
  <c r="S46" i="1" a="1"/>
  <c r="S46" i="1" s="1"/>
  <c r="S47" i="1" a="1"/>
  <c r="S47" i="1" s="1"/>
  <c r="S48" i="1" a="1"/>
  <c r="S48" i="1"/>
  <c r="S49" i="1" a="1"/>
  <c r="S49" i="1" s="1"/>
  <c r="S50" i="1" a="1"/>
  <c r="S50" i="1" s="1"/>
  <c r="S51" i="1" a="1"/>
  <c r="S51" i="1" s="1"/>
  <c r="S52" i="1" a="1"/>
  <c r="S52" i="1"/>
  <c r="S53" i="1" a="1"/>
  <c r="S53" i="1" s="1"/>
  <c r="S54" i="1" a="1"/>
  <c r="S54" i="1" s="1"/>
  <c r="S55" i="1" a="1"/>
  <c r="S55" i="1" s="1"/>
  <c r="S56" i="1" a="1"/>
  <c r="S56" i="1"/>
  <c r="S57" i="1" a="1"/>
  <c r="S57" i="1" s="1"/>
  <c r="S58" i="1" a="1"/>
  <c r="S58" i="1" s="1"/>
  <c r="S59" i="1" a="1"/>
  <c r="S59" i="1" s="1"/>
  <c r="S60" i="1" a="1"/>
  <c r="S60" i="1"/>
  <c r="S61" i="1" a="1"/>
  <c r="S61" i="1" s="1"/>
  <c r="S62" i="1" a="1"/>
  <c r="S62" i="1" s="1"/>
  <c r="S63" i="1" a="1"/>
  <c r="S63" i="1" s="1"/>
  <c r="S64" i="1" a="1"/>
  <c r="S64" i="1"/>
  <c r="S65" i="1" a="1"/>
  <c r="S65" i="1" s="1"/>
  <c r="S66" i="1" a="1"/>
  <c r="S66" i="1" s="1"/>
  <c r="S67" i="1" a="1"/>
  <c r="S67" i="1" s="1"/>
  <c r="S68" i="1" a="1"/>
  <c r="S68" i="1"/>
  <c r="S69" i="1" a="1"/>
  <c r="S69" i="1" s="1"/>
  <c r="S70" i="1" a="1"/>
  <c r="S70" i="1" s="1"/>
  <c r="S71" i="1" a="1"/>
  <c r="S71" i="1" s="1"/>
  <c r="S72" i="1" a="1"/>
  <c r="S72" i="1"/>
  <c r="S73" i="1" a="1"/>
  <c r="S73" i="1" s="1"/>
  <c r="S74" i="1" a="1"/>
  <c r="S74" i="1" s="1"/>
  <c r="S75" i="1" a="1"/>
  <c r="S75" i="1" s="1"/>
  <c r="S76" i="1" a="1"/>
  <c r="S76" i="1"/>
  <c r="S77" i="1" a="1"/>
  <c r="S77" i="1" s="1"/>
  <c r="S78" i="1" a="1"/>
  <c r="S78" i="1" s="1"/>
  <c r="S79" i="1" a="1"/>
  <c r="S79" i="1" s="1"/>
  <c r="S80" i="1" a="1"/>
  <c r="S80" i="1"/>
  <c r="S81" i="1" a="1"/>
  <c r="S81" i="1" s="1"/>
  <c r="S82" i="1" a="1"/>
  <c r="S82" i="1" s="1"/>
  <c r="S83" i="1" a="1"/>
  <c r="S83" i="1" s="1"/>
  <c r="S84" i="1" a="1"/>
  <c r="S84" i="1"/>
  <c r="S85" i="1" a="1"/>
  <c r="S85" i="1" s="1"/>
  <c r="S86" i="1" a="1"/>
  <c r="S86" i="1" s="1"/>
  <c r="S87" i="1" a="1"/>
  <c r="S87" i="1" s="1"/>
  <c r="S88" i="1" a="1"/>
  <c r="S88" i="1"/>
  <c r="S89" i="1" a="1"/>
  <c r="S89" i="1" s="1"/>
  <c r="S90" i="1" a="1"/>
  <c r="S90" i="1" s="1"/>
  <c r="S91" i="1" a="1"/>
  <c r="S91" i="1" s="1"/>
  <c r="S92" i="1" a="1"/>
  <c r="S92" i="1"/>
  <c r="S93" i="1" a="1"/>
  <c r="S93" i="1" s="1"/>
  <c r="S94" i="1" a="1"/>
  <c r="S94" i="1" s="1"/>
  <c r="S95" i="1" a="1"/>
  <c r="S95" i="1" s="1"/>
  <c r="S96" i="1" a="1"/>
  <c r="S96" i="1"/>
  <c r="S97" i="1" a="1"/>
  <c r="S97" i="1" s="1"/>
  <c r="S98" i="1" a="1"/>
  <c r="S98" i="1" s="1"/>
  <c r="S99" i="1" a="1"/>
  <c r="S99" i="1" s="1"/>
  <c r="S100" i="1" a="1"/>
  <c r="S100" i="1"/>
  <c r="S101" i="1" a="1"/>
  <c r="S101" i="1" s="1"/>
  <c r="S102" i="1" a="1"/>
  <c r="S102" i="1" s="1"/>
  <c r="S103" i="1" a="1"/>
  <c r="S103" i="1" s="1"/>
  <c r="S104" i="1" a="1"/>
  <c r="S104" i="1"/>
  <c r="S105" i="1" a="1"/>
  <c r="S105" i="1" s="1"/>
  <c r="S106" i="1" a="1"/>
  <c r="S106" i="1" s="1"/>
  <c r="S107" i="1" a="1"/>
  <c r="S107" i="1" s="1"/>
  <c r="S108" i="1" a="1"/>
  <c r="S108" i="1"/>
  <c r="S109" i="1" a="1"/>
  <c r="S109" i="1" s="1"/>
  <c r="S110" i="1" a="1"/>
  <c r="S110" i="1" s="1"/>
  <c r="S111" i="1" a="1"/>
  <c r="S111" i="1" s="1"/>
  <c r="S112" i="1" a="1"/>
  <c r="S112" i="1"/>
  <c r="S113" i="1" a="1"/>
  <c r="S113" i="1" s="1"/>
  <c r="S114" i="1" a="1"/>
  <c r="S114" i="1" s="1"/>
  <c r="S115" i="1" a="1"/>
  <c r="S115" i="1" s="1"/>
  <c r="S116" i="1" a="1"/>
  <c r="S116" i="1"/>
  <c r="S117" i="1" a="1"/>
  <c r="S117" i="1" s="1"/>
  <c r="S118" i="1" a="1"/>
  <c r="S118" i="1" s="1"/>
  <c r="S119" i="1" a="1"/>
  <c r="S119" i="1" s="1"/>
  <c r="S120" i="1" a="1"/>
  <c r="S120" i="1"/>
  <c r="S121" i="1" a="1"/>
  <c r="S121" i="1" s="1"/>
  <c r="S122" i="1" a="1"/>
  <c r="S122" i="1" s="1"/>
  <c r="S123" i="1" a="1"/>
  <c r="S123" i="1" s="1"/>
  <c r="S124" i="1" a="1"/>
  <c r="S124" i="1"/>
  <c r="S125" i="1" a="1"/>
  <c r="S125" i="1" s="1"/>
  <c r="S126" i="1" a="1"/>
  <c r="S126" i="1" s="1"/>
  <c r="S127" i="1" a="1"/>
  <c r="S127" i="1" s="1"/>
  <c r="S128" i="1" a="1"/>
  <c r="S128" i="1"/>
  <c r="S129" i="1" a="1"/>
  <c r="S129" i="1" s="1"/>
  <c r="S130" i="1" a="1"/>
  <c r="S130" i="1" s="1"/>
  <c r="S131" i="1" a="1"/>
  <c r="S131" i="1" s="1"/>
  <c r="S132" i="1" a="1"/>
  <c r="S132" i="1"/>
  <c r="S133" i="1" a="1"/>
  <c r="S133" i="1" s="1"/>
  <c r="S134" i="1" a="1"/>
  <c r="S134" i="1" s="1"/>
  <c r="S135" i="1" a="1"/>
  <c r="S135" i="1" s="1"/>
  <c r="S136" i="1" a="1"/>
  <c r="S136" i="1"/>
  <c r="S137" i="1" a="1"/>
  <c r="S137" i="1" s="1"/>
  <c r="S138" i="1" a="1"/>
  <c r="S138" i="1" s="1"/>
  <c r="S139" i="1" a="1"/>
  <c r="S139" i="1" s="1"/>
  <c r="S140" i="1" a="1"/>
  <c r="S140" i="1"/>
  <c r="S141" i="1" a="1"/>
  <c r="S141" i="1" s="1"/>
  <c r="S142" i="1" a="1"/>
  <c r="S142" i="1" s="1"/>
  <c r="S143" i="1" a="1"/>
  <c r="S143" i="1" s="1"/>
  <c r="S144" i="1" a="1"/>
  <c r="S144" i="1"/>
  <c r="S145" i="1" a="1"/>
  <c r="S145" i="1" s="1"/>
  <c r="S146" i="1" a="1"/>
  <c r="S146" i="1" s="1"/>
  <c r="S147" i="1" a="1"/>
  <c r="S147" i="1" s="1"/>
  <c r="S148" i="1" a="1"/>
  <c r="S148" i="1"/>
  <c r="S149" i="1" a="1"/>
  <c r="S149" i="1" s="1"/>
  <c r="S150" i="1" a="1"/>
  <c r="S150" i="1" s="1"/>
  <c r="S151" i="1" a="1"/>
  <c r="S151" i="1" s="1"/>
  <c r="S152" i="1" a="1"/>
  <c r="S152" i="1"/>
  <c r="S153" i="1" a="1"/>
  <c r="S153" i="1" s="1"/>
  <c r="S154" i="1" a="1"/>
  <c r="S154" i="1" s="1"/>
  <c r="S155" i="1" a="1"/>
  <c r="S155" i="1" s="1"/>
  <c r="S156" i="1" a="1"/>
  <c r="S156" i="1"/>
  <c r="S157" i="1" a="1"/>
  <c r="S157" i="1" s="1"/>
  <c r="S158" i="1" a="1"/>
  <c r="S158" i="1" s="1"/>
  <c r="S159" i="1" a="1"/>
  <c r="S159" i="1" s="1"/>
  <c r="S160" i="1" a="1"/>
  <c r="S160" i="1"/>
  <c r="S161" i="1" a="1"/>
  <c r="S161" i="1" s="1"/>
  <c r="S162" i="1" a="1"/>
  <c r="S162" i="1" s="1"/>
  <c r="S163" i="1" a="1"/>
  <c r="S163" i="1" s="1"/>
  <c r="S164" i="1" a="1"/>
  <c r="S164" i="1"/>
  <c r="S165" i="1" a="1"/>
  <c r="S165" i="1" s="1"/>
  <c r="S166" i="1" a="1"/>
  <c r="S166" i="1" s="1"/>
  <c r="S167" i="1" a="1"/>
  <c r="S167" i="1" s="1"/>
  <c r="S168" i="1" a="1"/>
  <c r="S168" i="1"/>
  <c r="S169" i="1" a="1"/>
  <c r="S169" i="1" s="1"/>
  <c r="S170" i="1" a="1"/>
  <c r="S170" i="1" s="1"/>
  <c r="S171" i="1" a="1"/>
  <c r="S171" i="1" s="1"/>
  <c r="S172" i="1" a="1"/>
  <c r="S172" i="1"/>
  <c r="S173" i="1" a="1"/>
  <c r="S173" i="1" s="1"/>
  <c r="S174" i="1" a="1"/>
  <c r="S174" i="1" s="1"/>
  <c r="S175" i="1" a="1"/>
  <c r="S175" i="1" s="1"/>
  <c r="S176" i="1" a="1"/>
  <c r="S176" i="1"/>
  <c r="S177" i="1" a="1"/>
  <c r="S177" i="1" s="1"/>
  <c r="S178" i="1" a="1"/>
  <c r="S178" i="1" s="1"/>
  <c r="S179" i="1" a="1"/>
  <c r="S179" i="1" s="1"/>
  <c r="S180" i="1" a="1"/>
  <c r="S180" i="1"/>
  <c r="S181" i="1" a="1"/>
  <c r="S181" i="1" s="1"/>
  <c r="S182" i="1" a="1"/>
  <c r="S182" i="1" s="1"/>
  <c r="S183" i="1" a="1"/>
  <c r="S183" i="1" s="1"/>
  <c r="S184" i="1" a="1"/>
  <c r="S184" i="1"/>
  <c r="S185" i="1" a="1"/>
  <c r="S185" i="1" s="1"/>
  <c r="S186" i="1" a="1"/>
  <c r="S186" i="1" s="1"/>
  <c r="S187" i="1" a="1"/>
  <c r="S187" i="1" s="1"/>
  <c r="S188" i="1" a="1"/>
  <c r="S188" i="1"/>
  <c r="S189" i="1" a="1"/>
  <c r="S189" i="1" s="1"/>
  <c r="S190" i="1" a="1"/>
  <c r="S190" i="1" s="1"/>
  <c r="S191" i="1" a="1"/>
  <c r="S191" i="1" s="1"/>
  <c r="S192" i="1" a="1"/>
  <c r="S192" i="1"/>
  <c r="S193" i="1" a="1"/>
  <c r="S193" i="1" s="1"/>
  <c r="S194" i="1" a="1"/>
  <c r="S194" i="1" s="1"/>
  <c r="S195" i="1" a="1"/>
  <c r="S195" i="1" s="1"/>
  <c r="S196" i="1" a="1"/>
  <c r="S196" i="1"/>
  <c r="S197" i="1" a="1"/>
  <c r="S197" i="1" s="1"/>
  <c r="S198" i="1" a="1"/>
  <c r="S198" i="1" s="1"/>
  <c r="S199" i="1" a="1"/>
  <c r="S199" i="1" s="1"/>
  <c r="S200" i="1" a="1"/>
  <c r="S200" i="1"/>
  <c r="S201" i="1" a="1"/>
  <c r="S201" i="1" s="1"/>
  <c r="S202" i="1" a="1"/>
  <c r="S202" i="1" s="1"/>
  <c r="S203" i="1" a="1"/>
  <c r="S203" i="1" s="1"/>
  <c r="S204" i="1" a="1"/>
  <c r="S204" i="1"/>
  <c r="S205" i="1" a="1"/>
  <c r="S205" i="1" s="1"/>
  <c r="S206" i="1" a="1"/>
  <c r="S206" i="1" s="1"/>
  <c r="S207" i="1" a="1"/>
  <c r="S207" i="1" s="1"/>
  <c r="S208" i="1" a="1"/>
  <c r="S208" i="1"/>
  <c r="S209" i="1" a="1"/>
  <c r="S209" i="1" s="1"/>
  <c r="S210" i="1" a="1"/>
  <c r="S210" i="1" s="1"/>
  <c r="S211" i="1" a="1"/>
  <c r="S211" i="1" s="1"/>
  <c r="S212" i="1" a="1"/>
  <c r="S212" i="1"/>
  <c r="S213" i="1" a="1"/>
  <c r="S213" i="1" s="1"/>
  <c r="S214" i="1" a="1"/>
  <c r="S214" i="1" s="1"/>
  <c r="S215" i="1" a="1"/>
  <c r="S215" i="1" s="1"/>
  <c r="S216" i="1" a="1"/>
  <c r="S216" i="1"/>
  <c r="S217" i="1" a="1"/>
  <c r="S217" i="1" s="1"/>
  <c r="S218" i="1" a="1"/>
  <c r="S218" i="1" s="1"/>
  <c r="S219" i="1" a="1"/>
  <c r="S219" i="1" s="1"/>
  <c r="S220" i="1" a="1"/>
  <c r="S220" i="1"/>
  <c r="S221" i="1" a="1"/>
  <c r="S221" i="1" s="1"/>
  <c r="S222" i="1" a="1"/>
  <c r="S222" i="1" s="1"/>
  <c r="S223" i="1" a="1"/>
  <c r="S223" i="1" s="1"/>
  <c r="S224" i="1" a="1"/>
  <c r="S224" i="1"/>
  <c r="S225" i="1" a="1"/>
  <c r="S225" i="1" s="1"/>
  <c r="S226" i="1" a="1"/>
  <c r="S226" i="1" s="1"/>
  <c r="S227" i="1" a="1"/>
  <c r="S227" i="1" s="1"/>
  <c r="S228" i="1" a="1"/>
  <c r="S228" i="1"/>
  <c r="S229" i="1" a="1"/>
  <c r="S229" i="1" s="1"/>
  <c r="S230" i="1" a="1"/>
  <c r="S230" i="1" s="1"/>
  <c r="S231" i="1" a="1"/>
  <c r="S231" i="1" s="1"/>
  <c r="S232" i="1" a="1"/>
  <c r="S232" i="1"/>
  <c r="S233" i="1" a="1"/>
  <c r="S233" i="1" s="1"/>
  <c r="S234" i="1" a="1"/>
  <c r="S234" i="1" s="1"/>
  <c r="S235" i="1" a="1"/>
  <c r="S235" i="1" s="1"/>
  <c r="S236" i="1" a="1"/>
  <c r="S236" i="1"/>
  <c r="S237" i="1" a="1"/>
  <c r="S237" i="1" s="1"/>
  <c r="S238" i="1" a="1"/>
  <c r="S238" i="1" s="1"/>
  <c r="S239" i="1" a="1"/>
  <c r="S239" i="1" s="1"/>
  <c r="S240" i="1" a="1"/>
  <c r="S240" i="1"/>
  <c r="S241" i="1" a="1"/>
  <c r="S241" i="1" s="1"/>
  <c r="S242" i="1" a="1"/>
  <c r="S242" i="1" s="1"/>
  <c r="S243" i="1" a="1"/>
  <c r="S243" i="1" s="1"/>
  <c r="S244" i="1" a="1"/>
  <c r="S244" i="1"/>
  <c r="S245" i="1" a="1"/>
  <c r="S245" i="1" s="1"/>
  <c r="S246" i="1" a="1"/>
  <c r="S246" i="1" s="1"/>
  <c r="S247" i="1" a="1"/>
  <c r="S247" i="1" s="1"/>
  <c r="S248" i="1" a="1"/>
  <c r="S248" i="1"/>
  <c r="S249" i="1" a="1"/>
  <c r="S249" i="1" s="1"/>
  <c r="S250" i="1" a="1"/>
  <c r="S250" i="1" s="1"/>
  <c r="S251" i="1" a="1"/>
  <c r="S251" i="1" s="1"/>
  <c r="S252" i="1" a="1"/>
  <c r="S252" i="1"/>
  <c r="S253" i="1" a="1"/>
  <c r="S253" i="1" s="1"/>
  <c r="S254" i="1" a="1"/>
  <c r="S254" i="1" s="1"/>
  <c r="S255" i="1" a="1"/>
  <c r="S255" i="1" s="1"/>
  <c r="S256" i="1" a="1"/>
  <c r="S256" i="1"/>
  <c r="S257" i="1" a="1"/>
  <c r="S257" i="1" s="1"/>
  <c r="S258" i="1" a="1"/>
  <c r="S258" i="1" s="1"/>
  <c r="S259" i="1" a="1"/>
  <c r="S259" i="1" s="1"/>
  <c r="S260" i="1" a="1"/>
  <c r="S260" i="1"/>
  <c r="S261" i="1" a="1"/>
  <c r="S261" i="1" s="1"/>
  <c r="S262" i="1" a="1"/>
  <c r="S262" i="1" s="1"/>
  <c r="S263" i="1" a="1"/>
  <c r="S263" i="1" s="1"/>
  <c r="S264" i="1" a="1"/>
  <c r="S264" i="1"/>
  <c r="S265" i="1" a="1"/>
  <c r="S265" i="1" s="1"/>
  <c r="S266" i="1" a="1"/>
  <c r="S266" i="1" s="1"/>
  <c r="S267" i="1" a="1"/>
  <c r="S267" i="1" s="1"/>
  <c r="S268" i="1" a="1"/>
  <c r="S268" i="1"/>
  <c r="S269" i="1" a="1"/>
  <c r="S269" i="1" s="1"/>
  <c r="S270" i="1" a="1"/>
  <c r="S270" i="1" s="1"/>
  <c r="S271" i="1" a="1"/>
  <c r="S271" i="1" s="1"/>
  <c r="S272" i="1" a="1"/>
  <c r="S272" i="1"/>
  <c r="S273" i="1" a="1"/>
  <c r="S273" i="1" s="1"/>
  <c r="S4" i="1" a="1"/>
  <c r="S4" i="1" s="1"/>
  <c r="S2" i="1" a="1"/>
  <c r="S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<sst xmlns="http://schemas.openxmlformats.org/spreadsheetml/2006/main" count="5211" uniqueCount="582">
  <si>
    <t>NIU</t>
  </si>
  <si>
    <t>St. Lucia</t>
  </si>
  <si>
    <t>KAZ</t>
  </si>
  <si>
    <t>British Virgin Islands</t>
  </si>
  <si>
    <t>UNESCO Institute for Statistics</t>
  </si>
  <si>
    <t>ECU</t>
  </si>
  <si>
    <t>HND</t>
  </si>
  <si>
    <t>HRV</t>
  </si>
  <si>
    <t>IDA total</t>
  </si>
  <si>
    <t>Germany</t>
  </si>
  <si>
    <t>Russian Federation</t>
  </si>
  <si>
    <t>MRT</t>
  </si>
  <si>
    <t>Niue</t>
  </si>
  <si>
    <t>2021 [YR2021]</t>
  </si>
  <si>
    <t>Netherlands</t>
  </si>
  <si>
    <t>Sint Maarten (Dutch part)</t>
  </si>
  <si>
    <t>Kosovo</t>
  </si>
  <si>
    <t>Latin America &amp; Caribbean (excluding high income)</t>
  </si>
  <si>
    <t>Macao SAR, China</t>
  </si>
  <si>
    <t>Lao PDR</t>
  </si>
  <si>
    <t>SVN</t>
  </si>
  <si>
    <t>2012 [YR2012]</t>
  </si>
  <si>
    <t>Chad</t>
  </si>
  <si>
    <t>RUS</t>
  </si>
  <si>
    <t>Slovenia</t>
  </si>
  <si>
    <t>TLA</t>
  </si>
  <si>
    <t>IDA blend</t>
  </si>
  <si>
    <t>GNQ</t>
  </si>
  <si>
    <t>MLI</t>
  </si>
  <si>
    <t>Nauru</t>
  </si>
  <si>
    <t>Topic</t>
  </si>
  <si>
    <t>Kiribati</t>
  </si>
  <si>
    <t>JPN</t>
  </si>
  <si>
    <t>HTI</t>
  </si>
  <si>
    <t>Timor-Leste</t>
  </si>
  <si>
    <t>2024 [YR2024]</t>
  </si>
  <si>
    <t>Lebanon</t>
  </si>
  <si>
    <t>LIE</t>
  </si>
  <si>
    <t>Middle income</t>
  </si>
  <si>
    <t>Nepal</t>
  </si>
  <si>
    <t>CPV</t>
  </si>
  <si>
    <t>ROU</t>
  </si>
  <si>
    <t>IDX</t>
  </si>
  <si>
    <t>NZL</t>
  </si>
  <si>
    <t>Ecuador</t>
  </si>
  <si>
    <t>TKM</t>
  </si>
  <si>
    <t>EAS</t>
  </si>
  <si>
    <t>Zimbabwe</t>
  </si>
  <si>
    <t>Ethiopia</t>
  </si>
  <si>
    <t>Angola</t>
  </si>
  <si>
    <t>SYR</t>
  </si>
  <si>
    <t>United Arab Emirates</t>
  </si>
  <si>
    <t>EST</t>
  </si>
  <si>
    <t>OED</t>
  </si>
  <si>
    <t>BRB</t>
  </si>
  <si>
    <t>Northern Mariana Islands</t>
  </si>
  <si>
    <t>USA</t>
  </si>
  <si>
    <t>MAR</t>
  </si>
  <si>
    <t>SAS</t>
  </si>
  <si>
    <t>DEU</t>
  </si>
  <si>
    <t>TTO</t>
  </si>
  <si>
    <t>KIR</t>
  </si>
  <si>
    <t>SST</t>
  </si>
  <si>
    <t>Sub-Saharan Africa (IDA &amp; IBRD countries)</t>
  </si>
  <si>
    <t>Greenland</t>
  </si>
  <si>
    <t>Montenegro</t>
  </si>
  <si>
    <t>CRI</t>
  </si>
  <si>
    <t>UMC</t>
  </si>
  <si>
    <t>YEM</t>
  </si>
  <si>
    <t>GIN</t>
  </si>
  <si>
    <t>Virgin Islands (U.S.)</t>
  </si>
  <si>
    <t>Switzerland</t>
  </si>
  <si>
    <t>Turkiye</t>
  </si>
  <si>
    <t>ECS</t>
  </si>
  <si>
    <t>Peru</t>
  </si>
  <si>
    <t>NRU</t>
  </si>
  <si>
    <t>NPL</t>
  </si>
  <si>
    <t>ABW</t>
  </si>
  <si>
    <t>Equatorial Guinea</t>
  </si>
  <si>
    <t>XKX</t>
  </si>
  <si>
    <t>Low &amp; middle income</t>
  </si>
  <si>
    <t>MDV</t>
  </si>
  <si>
    <t>Iceland</t>
  </si>
  <si>
    <t>Bhutan</t>
  </si>
  <si>
    <t>Marshall Islands</t>
  </si>
  <si>
    <t>Myanmar</t>
  </si>
  <si>
    <t>Pre-demographic dividend</t>
  </si>
  <si>
    <t>IRN</t>
  </si>
  <si>
    <t>Percentage of graduates from Science, Technology, Engineering and Mathematics programmes in tertiary education, both sexes (%)</t>
  </si>
  <si>
    <t>MEA</t>
  </si>
  <si>
    <t>Data from database: Education Statistics - All Indicators</t>
  </si>
  <si>
    <t>Botswana</t>
  </si>
  <si>
    <t>South Sudan</t>
  </si>
  <si>
    <t>Liechtenstein</t>
  </si>
  <si>
    <t>Bulgaria</t>
  </si>
  <si>
    <t>MLT</t>
  </si>
  <si>
    <t>Central African Republic</t>
  </si>
  <si>
    <t>MNP</t>
  </si>
  <si>
    <t>GNB</t>
  </si>
  <si>
    <t>Yemen, Rep.</t>
  </si>
  <si>
    <t>LIC</t>
  </si>
  <si>
    <t>West Bank and Gaza</t>
  </si>
  <si>
    <t>Cameroon</t>
  </si>
  <si>
    <t>TUN</t>
  </si>
  <si>
    <t>American Samoa</t>
  </si>
  <si>
    <t>Guinea-Bissau</t>
  </si>
  <si>
    <t>PER</t>
  </si>
  <si>
    <t>PRI</t>
  </si>
  <si>
    <t>SDN</t>
  </si>
  <si>
    <t>BOL</t>
  </si>
  <si>
    <t>Sudan</t>
  </si>
  <si>
    <t>Bermuda</t>
  </si>
  <si>
    <t>Guatemala</t>
  </si>
  <si>
    <t>AND</t>
  </si>
  <si>
    <t>SYC</t>
  </si>
  <si>
    <t>POL</t>
  </si>
  <si>
    <t>Fiji</t>
  </si>
  <si>
    <t>South Africa</t>
  </si>
  <si>
    <t>Portugal</t>
  </si>
  <si>
    <t>Somalia</t>
  </si>
  <si>
    <t>Slovak Republic</t>
  </si>
  <si>
    <t>Tuvalu</t>
  </si>
  <si>
    <t>Dominica</t>
  </si>
  <si>
    <t>New Caledonia</t>
  </si>
  <si>
    <t>MWI</t>
  </si>
  <si>
    <t>NOR</t>
  </si>
  <si>
    <t>Kuwait</t>
  </si>
  <si>
    <t>LTE</t>
  </si>
  <si>
    <t>2020 [YR2020]</t>
  </si>
  <si>
    <t>PYF</t>
  </si>
  <si>
    <t>CYM</t>
  </si>
  <si>
    <t>DOM</t>
  </si>
  <si>
    <t>KEN</t>
  </si>
  <si>
    <t>LVA</t>
  </si>
  <si>
    <t>Mongolia</t>
  </si>
  <si>
    <t>New Zealand</t>
  </si>
  <si>
    <t>ARM</t>
  </si>
  <si>
    <t>Small states</t>
  </si>
  <si>
    <t>Puerto Rico</t>
  </si>
  <si>
    <t>Panama</t>
  </si>
  <si>
    <t>CAN</t>
  </si>
  <si>
    <t>Europe &amp; Central Asia</t>
  </si>
  <si>
    <t>MDG</t>
  </si>
  <si>
    <t>Togo</t>
  </si>
  <si>
    <t>Cook Islands</t>
  </si>
  <si>
    <t>Gibraltar</t>
  </si>
  <si>
    <t>LAC</t>
  </si>
  <si>
    <t>Latvia</t>
  </si>
  <si>
    <t>TMN</t>
  </si>
  <si>
    <t>Sri Lanka</t>
  </si>
  <si>
    <t>Code</t>
  </si>
  <si>
    <t>2023 [YR2023]</t>
  </si>
  <si>
    <t>NAM</t>
  </si>
  <si>
    <t>ALB</t>
  </si>
  <si>
    <t>Singapore</t>
  </si>
  <si>
    <t>Finland</t>
  </si>
  <si>
    <t>World</t>
  </si>
  <si>
    <t>MNA</t>
  </si>
  <si>
    <t>PRT</t>
  </si>
  <si>
    <t>COM</t>
  </si>
  <si>
    <t>Paraguay</t>
  </si>
  <si>
    <t>Mozambique</t>
  </si>
  <si>
    <t>Congo, Rep.</t>
  </si>
  <si>
    <t>Share of all tertiary graduates who completed Science, Technology, Engineering and Mathematics in the reference year.</t>
  </si>
  <si>
    <t>Korea, Rep.</t>
  </si>
  <si>
    <t>Nigeria</t>
  </si>
  <si>
    <t>Sierra Leone</t>
  </si>
  <si>
    <t>Tajikistan</t>
  </si>
  <si>
    <t>Cuba</t>
  </si>
  <si>
    <t>Iraq</t>
  </si>
  <si>
    <t>Tokelau</t>
  </si>
  <si>
    <t>Ukraine</t>
  </si>
  <si>
    <t>MKD</t>
  </si>
  <si>
    <t>Europe &amp; Central Asia (IDA &amp; IBRD countries)</t>
  </si>
  <si>
    <t>TSS</t>
  </si>
  <si>
    <t>Estonia</t>
  </si>
  <si>
    <t>Guyana</t>
  </si>
  <si>
    <t>Uruguay</t>
  </si>
  <si>
    <t>PAN</t>
  </si>
  <si>
    <t>North America</t>
  </si>
  <si>
    <t>Algeria</t>
  </si>
  <si>
    <t>ARG</t>
  </si>
  <si>
    <t>Channel Islands</t>
  </si>
  <si>
    <t>French Polynesia</t>
  </si>
  <si>
    <t>Moldova</t>
  </si>
  <si>
    <t>San Marino</t>
  </si>
  <si>
    <t>Heavily indebted poor countries (HIPC)</t>
  </si>
  <si>
    <t>SGP</t>
  </si>
  <si>
    <t>TKL</t>
  </si>
  <si>
    <t>Ireland</t>
  </si>
  <si>
    <t>CHN</t>
  </si>
  <si>
    <t>BRN</t>
  </si>
  <si>
    <t>AZE</t>
  </si>
  <si>
    <t>BRA</t>
  </si>
  <si>
    <t>OECD members</t>
  </si>
  <si>
    <t>Tanzania</t>
  </si>
  <si>
    <t>GRL</t>
  </si>
  <si>
    <t>MSR</t>
  </si>
  <si>
    <t>TEA</t>
  </si>
  <si>
    <t>ATG</t>
  </si>
  <si>
    <t>Israel</t>
  </si>
  <si>
    <t>GUM</t>
  </si>
  <si>
    <t>IND</t>
  </si>
  <si>
    <t>LBR</t>
  </si>
  <si>
    <t>Antigua and Barbuda</t>
  </si>
  <si>
    <t>SRB</t>
  </si>
  <si>
    <t>TJK</t>
  </si>
  <si>
    <t>URY</t>
  </si>
  <si>
    <t>Argentina</t>
  </si>
  <si>
    <t>Cote d'Ivoire</t>
  </si>
  <si>
    <t>Cyprus</t>
  </si>
  <si>
    <t>CIV</t>
  </si>
  <si>
    <t>IDA</t>
  </si>
  <si>
    <t>Grenada</t>
  </si>
  <si>
    <t>Late-demographic dividend</t>
  </si>
  <si>
    <t>BDI</t>
  </si>
  <si>
    <t>BTN</t>
  </si>
  <si>
    <t>CHE</t>
  </si>
  <si>
    <t>Syrian Arab Republic</t>
  </si>
  <si>
    <t>Japan</t>
  </si>
  <si>
    <t>Latin America &amp; the Caribbean (IDA &amp; IBRD countries)</t>
  </si>
  <si>
    <t>Barbados</t>
  </si>
  <si>
    <t>Armenia</t>
  </si>
  <si>
    <t>Uzbekistan</t>
  </si>
  <si>
    <t>COK</t>
  </si>
  <si>
    <t>Djibouti</t>
  </si>
  <si>
    <t>SEN</t>
  </si>
  <si>
    <t>Congo, Dem. Rep.</t>
  </si>
  <si>
    <t>Georgia</t>
  </si>
  <si>
    <t>Brunei Darussalam</t>
  </si>
  <si>
    <t>OSS</t>
  </si>
  <si>
    <t>Cabo Verde</t>
  </si>
  <si>
    <t>Luxembourg</t>
  </si>
  <si>
    <t>Dominican Republic</t>
  </si>
  <si>
    <t>ERI</t>
  </si>
  <si>
    <t>Senegal</t>
  </si>
  <si>
    <t>IDA only</t>
  </si>
  <si>
    <t>BHR</t>
  </si>
  <si>
    <t>CMR</t>
  </si>
  <si>
    <t>KWT</t>
  </si>
  <si>
    <t>ARE</t>
  </si>
  <si>
    <t>GEO</t>
  </si>
  <si>
    <t>LBY</t>
  </si>
  <si>
    <t>North Macedonia</t>
  </si>
  <si>
    <t>CAF</t>
  </si>
  <si>
    <t>Malta</t>
  </si>
  <si>
    <t>HKG</t>
  </si>
  <si>
    <t>EAP</t>
  </si>
  <si>
    <t>Indicator Name</t>
  </si>
  <si>
    <t>PLW</t>
  </si>
  <si>
    <t>CHL</t>
  </si>
  <si>
    <t>VGB</t>
  </si>
  <si>
    <t>Benin</t>
  </si>
  <si>
    <t>Haiti</t>
  </si>
  <si>
    <t>Fragile and conflict affected situations</t>
  </si>
  <si>
    <t>GBR</t>
  </si>
  <si>
    <t>HUN</t>
  </si>
  <si>
    <t>Middle East &amp; North Africa</t>
  </si>
  <si>
    <t>South Asia</t>
  </si>
  <si>
    <t>BGD</t>
  </si>
  <si>
    <t>ASM</t>
  </si>
  <si>
    <t>Norway</t>
  </si>
  <si>
    <t>Eritrea</t>
  </si>
  <si>
    <t>Uganda</t>
  </si>
  <si>
    <t>FCS</t>
  </si>
  <si>
    <t>Austria</t>
  </si>
  <si>
    <t>2022 [YR2022]</t>
  </si>
  <si>
    <t>NIC</t>
  </si>
  <si>
    <t>2015 [YR2015]</t>
  </si>
  <si>
    <t>SSD</t>
  </si>
  <si>
    <t>Iran, Islamic Rep.</t>
  </si>
  <si>
    <t>CEB</t>
  </si>
  <si>
    <t>Cambodia</t>
  </si>
  <si>
    <t>United Kingdom</t>
  </si>
  <si>
    <t>Malaysia</t>
  </si>
  <si>
    <t>East Asia &amp; Pacific (IDA &amp; IBRD countries)</t>
  </si>
  <si>
    <t>Guinea</t>
  </si>
  <si>
    <t>Source</t>
  </si>
  <si>
    <t>Liberia</t>
  </si>
  <si>
    <t>PST</t>
  </si>
  <si>
    <t>United States</t>
  </si>
  <si>
    <t>Upper middle income</t>
  </si>
  <si>
    <t>2025 [YR2025]</t>
  </si>
  <si>
    <t>LAO</t>
  </si>
  <si>
    <t>Micronesia, Fed. Sts.</t>
  </si>
  <si>
    <t>2018 [YR2018]</t>
  </si>
  <si>
    <t>SWZ</t>
  </si>
  <si>
    <t>CUW</t>
  </si>
  <si>
    <t>ZWE</t>
  </si>
  <si>
    <t>Czechia</t>
  </si>
  <si>
    <t>PHL</t>
  </si>
  <si>
    <t>VIR</t>
  </si>
  <si>
    <t>GIB</t>
  </si>
  <si>
    <t>Burkina Faso</t>
  </si>
  <si>
    <t>IDB</t>
  </si>
  <si>
    <t>LDC</t>
  </si>
  <si>
    <t>MIC</t>
  </si>
  <si>
    <t>DNK</t>
  </si>
  <si>
    <t>KGZ</t>
  </si>
  <si>
    <t>Gambia, The</t>
  </si>
  <si>
    <t>East Asia &amp; Pacific</t>
  </si>
  <si>
    <t>Kenya</t>
  </si>
  <si>
    <t>Middle East &amp; North Africa (excluding high income)</t>
  </si>
  <si>
    <t>Indonesia</t>
  </si>
  <si>
    <t>Seychelles</t>
  </si>
  <si>
    <t>SLE</t>
  </si>
  <si>
    <t>Short definition</t>
  </si>
  <si>
    <t>Egypt, Arab Rep.</t>
  </si>
  <si>
    <t>European Union</t>
  </si>
  <si>
    <t>Ghana</t>
  </si>
  <si>
    <t>IDA &amp; IBRD total</t>
  </si>
  <si>
    <t>VCT</t>
  </si>
  <si>
    <t>TGO</t>
  </si>
  <si>
    <t>COL</t>
  </si>
  <si>
    <t>GTM</t>
  </si>
  <si>
    <t>GRD</t>
  </si>
  <si>
    <t>MUS</t>
  </si>
  <si>
    <t>NGA</t>
  </si>
  <si>
    <t>UIS.FOSGP.5T8.F500600700</t>
  </si>
  <si>
    <t>STP</t>
  </si>
  <si>
    <t>Mali</t>
  </si>
  <si>
    <t>GHA</t>
  </si>
  <si>
    <t>DJI</t>
  </si>
  <si>
    <t>Oman</t>
  </si>
  <si>
    <t>DZA</t>
  </si>
  <si>
    <t>NCL</t>
  </si>
  <si>
    <t>NAC</t>
  </si>
  <si>
    <t>BHS</t>
  </si>
  <si>
    <t>Arab World</t>
  </si>
  <si>
    <t>Monaco</t>
  </si>
  <si>
    <t>AUT</t>
  </si>
  <si>
    <t>Bahamas, The</t>
  </si>
  <si>
    <t>AFG</t>
  </si>
  <si>
    <t>Palau</t>
  </si>
  <si>
    <t>UZB</t>
  </si>
  <si>
    <t>High income</t>
  </si>
  <si>
    <t>Maldives</t>
  </si>
  <si>
    <t>Mauritania</t>
  </si>
  <si>
    <t>QAT</t>
  </si>
  <si>
    <t>El Salvador</t>
  </si>
  <si>
    <t>Qatar</t>
  </si>
  <si>
    <t>Honduras</t>
  </si>
  <si>
    <t>Costa Rica</t>
  </si>
  <si>
    <t>ITA</t>
  </si>
  <si>
    <t>BGR</t>
  </si>
  <si>
    <t>South Asia (IDA &amp; IBRD)</t>
  </si>
  <si>
    <t>LMY</t>
  </si>
  <si>
    <t>Eswatini</t>
  </si>
  <si>
    <t>MNG</t>
  </si>
  <si>
    <t>BFA</t>
  </si>
  <si>
    <t>TCD</t>
  </si>
  <si>
    <t>SOM</t>
  </si>
  <si>
    <t>TUR</t>
  </si>
  <si>
    <t>UKR</t>
  </si>
  <si>
    <t>GUY</t>
  </si>
  <si>
    <t>GAB</t>
  </si>
  <si>
    <t>..</t>
  </si>
  <si>
    <t>MAC</t>
  </si>
  <si>
    <t>Early-demographic dividend</t>
  </si>
  <si>
    <t>AGO</t>
  </si>
  <si>
    <t>HIC</t>
  </si>
  <si>
    <t>Isle of Man</t>
  </si>
  <si>
    <t>PSE</t>
  </si>
  <si>
    <t>THA</t>
  </si>
  <si>
    <t>TLS</t>
  </si>
  <si>
    <t>Venezuela, RB</t>
  </si>
  <si>
    <t>KOR</t>
  </si>
  <si>
    <t>Post-demographic dividend</t>
  </si>
  <si>
    <t>Latin America &amp; Caribbean</t>
  </si>
  <si>
    <t>Rwanda</t>
  </si>
  <si>
    <t>Solomon Islands</t>
  </si>
  <si>
    <t>Zambia</t>
  </si>
  <si>
    <t>Gabon</t>
  </si>
  <si>
    <t>SAU</t>
  </si>
  <si>
    <t>CZE</t>
  </si>
  <si>
    <t>China</t>
  </si>
  <si>
    <t>WSM</t>
  </si>
  <si>
    <t>BWA</t>
  </si>
  <si>
    <t>IBT</t>
  </si>
  <si>
    <t>LMC</t>
  </si>
  <si>
    <t>Long definition</t>
  </si>
  <si>
    <t>SUR</t>
  </si>
  <si>
    <t>VEN</t>
  </si>
  <si>
    <t>Denmark</t>
  </si>
  <si>
    <t>Jamaica</t>
  </si>
  <si>
    <t>IRL</t>
  </si>
  <si>
    <t>Albania</t>
  </si>
  <si>
    <t>Poland</t>
  </si>
  <si>
    <t>East Asia &amp; Pacific (excluding high income)</t>
  </si>
  <si>
    <t>Euro area</t>
  </si>
  <si>
    <t>Andorra</t>
  </si>
  <si>
    <t>Country Name</t>
  </si>
  <si>
    <t>Bosnia and Herzegovina</t>
  </si>
  <si>
    <t>JOR</t>
  </si>
  <si>
    <t>LNX</t>
  </si>
  <si>
    <t>Nicaragua</t>
  </si>
  <si>
    <t>PAK</t>
  </si>
  <si>
    <t>Hong Kong SAR, China</t>
  </si>
  <si>
    <t>2014 [YR2014]</t>
  </si>
  <si>
    <t>Sao Tome and Principe</t>
  </si>
  <si>
    <t>CSS</t>
  </si>
  <si>
    <t>FRO</t>
  </si>
  <si>
    <t>Greece</t>
  </si>
  <si>
    <t>Philippines</t>
  </si>
  <si>
    <t>SWE</t>
  </si>
  <si>
    <t>TON</t>
  </si>
  <si>
    <t>CUB</t>
  </si>
  <si>
    <t>ESP</t>
  </si>
  <si>
    <t>HPC</t>
  </si>
  <si>
    <t>ETH</t>
  </si>
  <si>
    <t>JAM</t>
  </si>
  <si>
    <t>MNE</t>
  </si>
  <si>
    <t>Romania</t>
  </si>
  <si>
    <t>BLZ</t>
  </si>
  <si>
    <t>2017 [YR2017]</t>
  </si>
  <si>
    <t>Middle East &amp; North Africa (IDA &amp; IBRD countries)</t>
  </si>
  <si>
    <t>Spain</t>
  </si>
  <si>
    <t>Europe &amp; Central Asia (excluding high income)</t>
  </si>
  <si>
    <t>LKA</t>
  </si>
  <si>
    <t>PRK</t>
  </si>
  <si>
    <t>COD</t>
  </si>
  <si>
    <t>Last Updated: 06/25/2024</t>
  </si>
  <si>
    <t>Bolivia</t>
  </si>
  <si>
    <t>Canada</t>
  </si>
  <si>
    <t>SXM</t>
  </si>
  <si>
    <t>Bangladesh</t>
  </si>
  <si>
    <t>MOZ</t>
  </si>
  <si>
    <t>SMR</t>
  </si>
  <si>
    <t>Kyrgyz Republic</t>
  </si>
  <si>
    <t>UGA</t>
  </si>
  <si>
    <t>France</t>
  </si>
  <si>
    <t>KHM</t>
  </si>
  <si>
    <t>Lower middle income</t>
  </si>
  <si>
    <t>OMN</t>
  </si>
  <si>
    <t>PSS</t>
  </si>
  <si>
    <t>BMU</t>
  </si>
  <si>
    <t>Afghanistan</t>
  </si>
  <si>
    <t>Suriname</t>
  </si>
  <si>
    <t>Turkmenistan</t>
  </si>
  <si>
    <t>Viet Nam</t>
  </si>
  <si>
    <t>IDN</t>
  </si>
  <si>
    <t>LSO</t>
  </si>
  <si>
    <t>LUX</t>
  </si>
  <si>
    <t>MYT</t>
  </si>
  <si>
    <t>Pacific island small states</t>
  </si>
  <si>
    <t>Least developed countries: UN classification</t>
  </si>
  <si>
    <t>Anguilla</t>
  </si>
  <si>
    <t>BEN</t>
  </si>
  <si>
    <t>Lithuania</t>
  </si>
  <si>
    <t>St. Vincent and the Grenadines</t>
  </si>
  <si>
    <t>Curacao</t>
  </si>
  <si>
    <t>Low income</t>
  </si>
  <si>
    <t>IBRD only</t>
  </si>
  <si>
    <t>St. Kitts and Nevis</t>
  </si>
  <si>
    <t>Series Code</t>
  </si>
  <si>
    <t>Colombia</t>
  </si>
  <si>
    <t>ARB</t>
  </si>
  <si>
    <t>TSA</t>
  </si>
  <si>
    <t>GRC</t>
  </si>
  <si>
    <t>Saudi Arabia</t>
  </si>
  <si>
    <t>Australia</t>
  </si>
  <si>
    <t>PRE</t>
  </si>
  <si>
    <t>VUT</t>
  </si>
  <si>
    <t>LCN</t>
  </si>
  <si>
    <t>ISR</t>
  </si>
  <si>
    <t>SVK</t>
  </si>
  <si>
    <t>FTI</t>
  </si>
  <si>
    <t>Korea, Dem. People's Rep.</t>
  </si>
  <si>
    <t>LCA</t>
  </si>
  <si>
    <t>CHI</t>
  </si>
  <si>
    <t>FIN</t>
  </si>
  <si>
    <t>Samoa</t>
  </si>
  <si>
    <t>Caribbean small states</t>
  </si>
  <si>
    <t>Lending category not classified</t>
  </si>
  <si>
    <t>AUS</t>
  </si>
  <si>
    <t>Sweden</t>
  </si>
  <si>
    <t>Global Partnership for Education</t>
  </si>
  <si>
    <t>IRQ</t>
  </si>
  <si>
    <t>Mayotte</t>
  </si>
  <si>
    <t>SSA</t>
  </si>
  <si>
    <t>Papua New Guinea</t>
  </si>
  <si>
    <t>Lesotho</t>
  </si>
  <si>
    <t>FJI</t>
  </si>
  <si>
    <t>Italy</t>
  </si>
  <si>
    <t>PNG</t>
  </si>
  <si>
    <t>PRY</t>
  </si>
  <si>
    <t>Azerbaijan</t>
  </si>
  <si>
    <t>Libya</t>
  </si>
  <si>
    <t>Other small states</t>
  </si>
  <si>
    <t>Tonga</t>
  </si>
  <si>
    <t>Bahrain</t>
  </si>
  <si>
    <t>Brazil</t>
  </si>
  <si>
    <t>Belarus</t>
  </si>
  <si>
    <t>ISL</t>
  </si>
  <si>
    <t>NLD</t>
  </si>
  <si>
    <t>Malawi</t>
  </si>
  <si>
    <t>ANT</t>
  </si>
  <si>
    <t>TZA</t>
  </si>
  <si>
    <t>MMR</t>
  </si>
  <si>
    <t>BEL</t>
  </si>
  <si>
    <t>Vanuatu</t>
  </si>
  <si>
    <t>2013 [YR2013]</t>
  </si>
  <si>
    <t>Belgium</t>
  </si>
  <si>
    <t>Guam</t>
  </si>
  <si>
    <t>SLB</t>
  </si>
  <si>
    <t>Faroe Islands</t>
  </si>
  <si>
    <t>IMN</t>
  </si>
  <si>
    <t>MEX</t>
  </si>
  <si>
    <t>MCO</t>
  </si>
  <si>
    <t>MAF</t>
  </si>
  <si>
    <t>Trinidad and Tobago</t>
  </si>
  <si>
    <t>BLR</t>
  </si>
  <si>
    <t>TEC</t>
  </si>
  <si>
    <t>Jordan</t>
  </si>
  <si>
    <t>Sub-Saharan Africa (excluding high income)</t>
  </si>
  <si>
    <t>Namibia</t>
  </si>
  <si>
    <t>Belize</t>
  </si>
  <si>
    <t>LTU</t>
  </si>
  <si>
    <t>MHL</t>
  </si>
  <si>
    <t>AIA</t>
  </si>
  <si>
    <t>Niger</t>
  </si>
  <si>
    <t>2016 [YR2016]</t>
  </si>
  <si>
    <t>EGY</t>
  </si>
  <si>
    <t>EUU</t>
  </si>
  <si>
    <t>CYP</t>
  </si>
  <si>
    <t>ZMB</t>
  </si>
  <si>
    <t>NER</t>
  </si>
  <si>
    <t>Hungary</t>
  </si>
  <si>
    <t>Series</t>
  </si>
  <si>
    <t>BIH</t>
  </si>
  <si>
    <t>Kazakhstan</t>
  </si>
  <si>
    <t>Central Europe and the Baltics</t>
  </si>
  <si>
    <t>Tertiary</t>
  </si>
  <si>
    <t>Cayman Islands</t>
  </si>
  <si>
    <t>FRA</t>
  </si>
  <si>
    <t>Aruba</t>
  </si>
  <si>
    <t>2019 [YR2019]</t>
  </si>
  <si>
    <t>Comoros</t>
  </si>
  <si>
    <t>SLV</t>
  </si>
  <si>
    <t>Mauritius</t>
  </si>
  <si>
    <t>Mexico</t>
  </si>
  <si>
    <t>India</t>
  </si>
  <si>
    <t>ZAF</t>
  </si>
  <si>
    <t>Madagascar</t>
  </si>
  <si>
    <t>RWA</t>
  </si>
  <si>
    <t>TCA</t>
  </si>
  <si>
    <t>Morocco</t>
  </si>
  <si>
    <t>Country Code</t>
  </si>
  <si>
    <t>LBN</t>
  </si>
  <si>
    <t>MDA</t>
  </si>
  <si>
    <t>EAR</t>
  </si>
  <si>
    <t>Netherlands Antilles</t>
  </si>
  <si>
    <t>Montserrat</t>
  </si>
  <si>
    <t>WLD</t>
  </si>
  <si>
    <t>Turks and Caicos Islands</t>
  </si>
  <si>
    <t>DMA</t>
  </si>
  <si>
    <t>GMB</t>
  </si>
  <si>
    <t>ECA</t>
  </si>
  <si>
    <t>Pakistan</t>
  </si>
  <si>
    <t>Burundi</t>
  </si>
  <si>
    <t>COG</t>
  </si>
  <si>
    <t>EMU</t>
  </si>
  <si>
    <t>Sub-Saharan Africa</t>
  </si>
  <si>
    <t>Croatia</t>
  </si>
  <si>
    <t>SSF</t>
  </si>
  <si>
    <t>FSM</t>
  </si>
  <si>
    <t>IBD</t>
  </si>
  <si>
    <t>MYS</t>
  </si>
  <si>
    <t>KNA</t>
  </si>
  <si>
    <t>Thailand</t>
  </si>
  <si>
    <t>Chile</t>
  </si>
  <si>
    <t>Serbia</t>
  </si>
  <si>
    <t>St. Martin (French part)</t>
  </si>
  <si>
    <t>TUV</t>
  </si>
  <si>
    <t>VNM</t>
  </si>
  <si>
    <t>Tunisia</t>
  </si>
  <si>
    <t/>
  </si>
  <si>
    <t>GRADES</t>
  </si>
  <si>
    <t>ISO3</t>
  </si>
  <si>
    <t>COUNTRY</t>
  </si>
  <si>
    <t>YEAR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</si>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</sst>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8"/>
  <sheetViews>
    <sheetView topLeftCell="C1" workbookViewId="0">
      <selection activeCell="T3" sqref="T3:T273"/>
    </sheetView>
  </sheetViews>
  <sheetFormatPr defaultRowHeight="14.5" x14ac:dyDescent="0.35"/>
  <cols>
    <col min="3" max="3" width="40.08984375" customWidth="1"/>
  </cols>
  <sheetData>
    <row r="1" spans="1:20" x14ac:dyDescent="0.35">
      <c r="A1" t="s">
        <v>391</v>
      </c>
      <c r="B1" s="1" t="s">
        <v>547</v>
      </c>
      <c r="C1" t="s">
        <v>528</v>
      </c>
      <c r="D1" s="1" t="s">
        <v>454</v>
      </c>
      <c r="E1" t="s">
        <v>21</v>
      </c>
      <c r="F1" t="s">
        <v>501</v>
      </c>
      <c r="G1" t="s">
        <v>398</v>
      </c>
      <c r="H1" t="s">
        <v>268</v>
      </c>
      <c r="I1" t="s">
        <v>521</v>
      </c>
      <c r="J1" t="s">
        <v>414</v>
      </c>
      <c r="K1" t="s">
        <v>285</v>
      </c>
      <c r="L1" t="s">
        <v>536</v>
      </c>
      <c r="M1" t="s">
        <v>128</v>
      </c>
      <c r="N1" t="s">
        <v>13</v>
      </c>
      <c r="O1" t="s">
        <v>266</v>
      </c>
      <c r="P1" t="s">
        <v>151</v>
      </c>
      <c r="Q1" t="s">
        <v>35</v>
      </c>
      <c r="R1" t="s">
        <v>282</v>
      </c>
    </row>
    <row r="2" spans="1:20" x14ac:dyDescent="0.35">
      <c r="A2" t="s">
        <v>436</v>
      </c>
      <c r="B2" s="1" t="s">
        <v>332</v>
      </c>
      <c r="C2" t="s">
        <v>88</v>
      </c>
      <c r="D2" s="1" t="s">
        <v>318</v>
      </c>
      <c r="E2" t="s">
        <v>356</v>
      </c>
      <c r="F2" t="s">
        <v>356</v>
      </c>
      <c r="G2" t="s">
        <v>356</v>
      </c>
      <c r="H2" t="s">
        <v>356</v>
      </c>
      <c r="I2" t="s">
        <v>356</v>
      </c>
      <c r="J2" t="s">
        <v>356</v>
      </c>
      <c r="K2" t="s">
        <v>356</v>
      </c>
      <c r="L2" t="s">
        <v>356</v>
      </c>
      <c r="M2" t="s">
        <v>356</v>
      </c>
      <c r="N2" t="s">
        <v>356</v>
      </c>
      <c r="O2" t="s">
        <v>356</v>
      </c>
      <c r="P2" t="s">
        <v>356</v>
      </c>
      <c r="Q2" t="s">
        <v>356</v>
      </c>
      <c r="R2" t="s">
        <v>356</v>
      </c>
      <c r="S2" t="str" cm="1">
        <f t="array" ref="S2">IFERROR(LOOKUP(2,1/(E2:R2&lt;&gt;".."),E2:R2)/100,"")</f>
        <v/>
      </c>
    </row>
    <row r="3" spans="1:20" x14ac:dyDescent="0.35">
      <c r="A3" t="s">
        <v>386</v>
      </c>
      <c r="B3" s="1" t="s">
        <v>153</v>
      </c>
      <c r="C3" t="s">
        <v>88</v>
      </c>
      <c r="D3" s="1" t="s">
        <v>318</v>
      </c>
      <c r="E3" t="s">
        <v>356</v>
      </c>
      <c r="F3" t="s">
        <v>356</v>
      </c>
      <c r="G3" t="s">
        <v>356</v>
      </c>
      <c r="H3">
        <v>18.145130000000002</v>
      </c>
      <c r="I3">
        <v>17.720320000000001</v>
      </c>
      <c r="J3">
        <v>19.35248</v>
      </c>
      <c r="K3">
        <v>20.628589999999999</v>
      </c>
      <c r="L3">
        <v>18.821470000000001</v>
      </c>
      <c r="M3" t="s">
        <v>356</v>
      </c>
      <c r="N3" t="s">
        <v>356</v>
      </c>
      <c r="O3" t="s">
        <v>356</v>
      </c>
      <c r="P3" t="s">
        <v>356</v>
      </c>
      <c r="Q3" t="s">
        <v>356</v>
      </c>
      <c r="R3" t="s">
        <v>356</v>
      </c>
      <c r="S3" cm="1">
        <f t="array" ref="S3">IFERROR(LOOKUP(2,1/(E3:R3&lt;&gt;".."),E3:R3)/100,"")</f>
        <v>0.18821470000000001</v>
      </c>
      <c r="T3" cm="1">
        <f t="array" ref="T3">IFERROR(--LEFT(LOOKUP(2,1/(E3:R3&lt;&gt;".."),E$1:R$1),4),"")</f>
        <v>2019</v>
      </c>
    </row>
    <row r="4" spans="1:20" x14ac:dyDescent="0.35">
      <c r="A4" t="s">
        <v>180</v>
      </c>
      <c r="B4" s="1" t="s">
        <v>324</v>
      </c>
      <c r="C4" t="s">
        <v>88</v>
      </c>
      <c r="D4" s="1" t="s">
        <v>318</v>
      </c>
      <c r="E4" t="s">
        <v>356</v>
      </c>
      <c r="F4" t="s">
        <v>356</v>
      </c>
      <c r="G4" t="s">
        <v>356</v>
      </c>
      <c r="H4">
        <v>31.219390000000001</v>
      </c>
      <c r="I4">
        <v>31.069310000000002</v>
      </c>
      <c r="J4" t="s">
        <v>356</v>
      </c>
      <c r="K4">
        <v>34.23498</v>
      </c>
      <c r="L4" t="s">
        <v>356</v>
      </c>
      <c r="M4" t="s">
        <v>356</v>
      </c>
      <c r="N4" t="s">
        <v>356</v>
      </c>
      <c r="O4" t="s">
        <v>356</v>
      </c>
      <c r="P4" t="s">
        <v>356</v>
      </c>
      <c r="Q4" t="s">
        <v>356</v>
      </c>
      <c r="R4" t="s">
        <v>356</v>
      </c>
      <c r="S4" cm="1">
        <f t="array" ref="S4">IFERROR(LOOKUP(2,1/(E4:R4&lt;&gt;".."),E4:R4)/100,"")</f>
        <v>0.34234979999999998</v>
      </c>
      <c r="T4" cm="1">
        <f t="array" ref="T4">IFERROR(--LEFT(LOOKUP(2,1/(E4:R4&lt;&gt;".."),E$1:R$1),4),"")</f>
        <v>2018</v>
      </c>
    </row>
    <row r="5" spans="1:20" x14ac:dyDescent="0.35">
      <c r="A5" t="s">
        <v>104</v>
      </c>
      <c r="B5" s="1" t="s">
        <v>260</v>
      </c>
      <c r="C5" t="s">
        <v>88</v>
      </c>
      <c r="D5" s="1" t="s">
        <v>318</v>
      </c>
      <c r="E5" t="s">
        <v>356</v>
      </c>
      <c r="F5" t="s">
        <v>356</v>
      </c>
      <c r="G5" t="s">
        <v>356</v>
      </c>
      <c r="H5" t="s">
        <v>356</v>
      </c>
      <c r="I5" t="s">
        <v>356</v>
      </c>
      <c r="J5" t="s">
        <v>356</v>
      </c>
      <c r="K5" t="s">
        <v>356</v>
      </c>
      <c r="L5" t="s">
        <v>356</v>
      </c>
      <c r="M5" t="s">
        <v>356</v>
      </c>
      <c r="N5" t="s">
        <v>356</v>
      </c>
      <c r="O5" t="s">
        <v>356</v>
      </c>
      <c r="P5" t="s">
        <v>356</v>
      </c>
      <c r="Q5" t="s">
        <v>356</v>
      </c>
      <c r="R5" t="s">
        <v>356</v>
      </c>
      <c r="S5" t="str" cm="1">
        <f t="array" ref="S5">IFERROR(LOOKUP(2,1/(E5:R5&lt;&gt;".."),E5:R5)/100,"")</f>
        <v/>
      </c>
      <c r="T5" t="str" cm="1">
        <f t="array" ref="T5">IFERROR(--LEFT(LOOKUP(2,1/(E5:R5&lt;&gt;".."),E$1:R$1),4),"")</f>
        <v/>
      </c>
    </row>
    <row r="6" spans="1:20" x14ac:dyDescent="0.35">
      <c r="A6" t="s">
        <v>390</v>
      </c>
      <c r="B6" s="1" t="s">
        <v>113</v>
      </c>
      <c r="C6" t="s">
        <v>88</v>
      </c>
      <c r="D6" s="1" t="s">
        <v>318</v>
      </c>
      <c r="E6">
        <v>7.3170700000000002</v>
      </c>
      <c r="F6" t="s">
        <v>356</v>
      </c>
      <c r="G6" t="s">
        <v>356</v>
      </c>
      <c r="H6">
        <v>2.1276600000000001</v>
      </c>
      <c r="I6">
        <v>5.5555599999999998</v>
      </c>
      <c r="J6">
        <v>3.5294099999999999</v>
      </c>
      <c r="K6">
        <v>13.461539999999999</v>
      </c>
      <c r="L6">
        <v>13.580249999999999</v>
      </c>
      <c r="M6" t="s">
        <v>356</v>
      </c>
      <c r="N6" t="s">
        <v>356</v>
      </c>
      <c r="O6" t="s">
        <v>356</v>
      </c>
      <c r="P6" t="s">
        <v>356</v>
      </c>
      <c r="Q6" t="s">
        <v>356</v>
      </c>
      <c r="R6" t="s">
        <v>356</v>
      </c>
      <c r="S6" cm="1">
        <f t="array" ref="S6">IFERROR(LOOKUP(2,1/(E6:R6&lt;&gt;".."),E6:R6)/100,"")</f>
        <v>0.13580249999999999</v>
      </c>
      <c r="T6" cm="1">
        <f t="array" ref="T6">IFERROR(--LEFT(LOOKUP(2,1/(E6:R6&lt;&gt;".."),E$1:R$1),4),"")</f>
        <v>2019</v>
      </c>
    </row>
    <row r="7" spans="1:20" x14ac:dyDescent="0.35">
      <c r="A7" t="s">
        <v>49</v>
      </c>
      <c r="B7" s="1" t="s">
        <v>359</v>
      </c>
      <c r="C7" t="s">
        <v>88</v>
      </c>
      <c r="D7" s="1" t="s">
        <v>318</v>
      </c>
      <c r="E7" t="s">
        <v>356</v>
      </c>
      <c r="F7" t="s">
        <v>356</v>
      </c>
      <c r="G7" t="s">
        <v>356</v>
      </c>
      <c r="H7">
        <v>12.01046</v>
      </c>
      <c r="I7" t="s">
        <v>356</v>
      </c>
      <c r="J7" t="s">
        <v>356</v>
      </c>
      <c r="K7" t="s">
        <v>356</v>
      </c>
      <c r="L7" t="s">
        <v>356</v>
      </c>
      <c r="M7" t="s">
        <v>356</v>
      </c>
      <c r="N7" t="s">
        <v>356</v>
      </c>
      <c r="O7" t="s">
        <v>356</v>
      </c>
      <c r="P7" t="s">
        <v>356</v>
      </c>
      <c r="Q7" t="s">
        <v>356</v>
      </c>
      <c r="R7" t="s">
        <v>356</v>
      </c>
      <c r="S7" cm="1">
        <f t="array" ref="S7">IFERROR(LOOKUP(2,1/(E7:R7&lt;&gt;".."),E7:R7)/100,"")</f>
        <v>0.12010460000000001</v>
      </c>
      <c r="T7" cm="1">
        <f t="array" ref="T7">IFERROR(--LEFT(LOOKUP(2,1/(E7:R7&lt;&gt;".."),E$1:R$1),4),"")</f>
        <v>2015</v>
      </c>
    </row>
    <row r="8" spans="1:20" x14ac:dyDescent="0.35">
      <c r="A8" t="s">
        <v>446</v>
      </c>
      <c r="B8" s="1" t="s">
        <v>519</v>
      </c>
      <c r="C8" t="s">
        <v>88</v>
      </c>
      <c r="D8" s="1" t="s">
        <v>318</v>
      </c>
      <c r="E8" t="s">
        <v>356</v>
      </c>
      <c r="F8" t="s">
        <v>356</v>
      </c>
      <c r="G8" t="s">
        <v>356</v>
      </c>
      <c r="H8" t="s">
        <v>356</v>
      </c>
      <c r="I8" t="s">
        <v>356</v>
      </c>
      <c r="J8" t="s">
        <v>356</v>
      </c>
      <c r="K8" t="s">
        <v>356</v>
      </c>
      <c r="L8" t="s">
        <v>356</v>
      </c>
      <c r="M8" t="s">
        <v>356</v>
      </c>
      <c r="N8" t="s">
        <v>356</v>
      </c>
      <c r="O8" t="s">
        <v>356</v>
      </c>
      <c r="P8" t="s">
        <v>356</v>
      </c>
      <c r="Q8" t="s">
        <v>356</v>
      </c>
      <c r="R8" t="s">
        <v>356</v>
      </c>
      <c r="S8" t="str" cm="1">
        <f t="array" ref="S8">IFERROR(LOOKUP(2,1/(E8:R8&lt;&gt;".."),E8:R8)/100,"")</f>
        <v/>
      </c>
      <c r="T8" t="str" cm="1">
        <f t="array" ref="T8">IFERROR(--LEFT(LOOKUP(2,1/(E8:R8&lt;&gt;".."),E$1:R$1),4),"")</f>
        <v/>
      </c>
    </row>
    <row r="9" spans="1:20" x14ac:dyDescent="0.35">
      <c r="A9" t="s">
        <v>204</v>
      </c>
      <c r="B9" s="1" t="s">
        <v>199</v>
      </c>
      <c r="C9" t="s">
        <v>88</v>
      </c>
      <c r="D9" s="1" t="s">
        <v>318</v>
      </c>
      <c r="E9">
        <v>4.7244099999999998</v>
      </c>
      <c r="F9" t="s">
        <v>356</v>
      </c>
      <c r="G9" t="s">
        <v>356</v>
      </c>
      <c r="H9" t="s">
        <v>356</v>
      </c>
      <c r="I9" t="s">
        <v>356</v>
      </c>
      <c r="J9" t="s">
        <v>356</v>
      </c>
      <c r="K9" t="s">
        <v>356</v>
      </c>
      <c r="L9" t="s">
        <v>356</v>
      </c>
      <c r="M9" t="s">
        <v>356</v>
      </c>
      <c r="N9" t="s">
        <v>356</v>
      </c>
      <c r="O9" t="s">
        <v>356</v>
      </c>
      <c r="P9" t="s">
        <v>356</v>
      </c>
      <c r="Q9" t="s">
        <v>356</v>
      </c>
      <c r="R9" t="s">
        <v>356</v>
      </c>
      <c r="S9" cm="1">
        <f t="array" ref="S9">IFERROR(LOOKUP(2,1/(E9:R9&lt;&gt;".."),E9:R9)/100,"")</f>
        <v>4.7244099999999997E-2</v>
      </c>
      <c r="T9" cm="1">
        <f t="array" ref="T9">IFERROR(--LEFT(LOOKUP(2,1/(E9:R9&lt;&gt;".."),E$1:R$1),4),"")</f>
        <v>2012</v>
      </c>
    </row>
    <row r="10" spans="1:20" x14ac:dyDescent="0.35">
      <c r="A10" t="s">
        <v>328</v>
      </c>
      <c r="B10" s="1" t="s">
        <v>456</v>
      </c>
      <c r="C10" t="s">
        <v>88</v>
      </c>
      <c r="D10" s="1" t="s">
        <v>318</v>
      </c>
      <c r="E10" t="s">
        <v>356</v>
      </c>
      <c r="F10" t="s">
        <v>356</v>
      </c>
      <c r="G10" t="s">
        <v>356</v>
      </c>
      <c r="H10" t="s">
        <v>356</v>
      </c>
      <c r="I10" t="s">
        <v>356</v>
      </c>
      <c r="J10" t="s">
        <v>356</v>
      </c>
      <c r="K10" t="s">
        <v>356</v>
      </c>
      <c r="L10" t="s">
        <v>356</v>
      </c>
      <c r="M10" t="s">
        <v>356</v>
      </c>
      <c r="N10" t="s">
        <v>356</v>
      </c>
      <c r="O10" t="s">
        <v>356</v>
      </c>
      <c r="P10" t="s">
        <v>356</v>
      </c>
      <c r="Q10" t="s">
        <v>356</v>
      </c>
      <c r="R10" t="s">
        <v>356</v>
      </c>
      <c r="S10" t="str" cm="1">
        <f t="array" ref="S10">IFERROR(LOOKUP(2,1/(E10:R10&lt;&gt;".."),E10:R10)/100,"")</f>
        <v/>
      </c>
      <c r="T10" t="str" cm="1">
        <f t="array" ref="T10">IFERROR(--LEFT(LOOKUP(2,1/(E10:R10&lt;&gt;".."),E$1:R$1),4),"")</f>
        <v/>
      </c>
    </row>
    <row r="11" spans="1:20" x14ac:dyDescent="0.35">
      <c r="A11" t="s">
        <v>208</v>
      </c>
      <c r="B11" s="1" t="s">
        <v>181</v>
      </c>
      <c r="C11" t="s">
        <v>88</v>
      </c>
      <c r="D11" s="1" t="s">
        <v>318</v>
      </c>
      <c r="E11" t="s">
        <v>356</v>
      </c>
      <c r="F11" t="s">
        <v>356</v>
      </c>
      <c r="G11" t="s">
        <v>356</v>
      </c>
      <c r="H11" t="s">
        <v>356</v>
      </c>
      <c r="I11" t="s">
        <v>356</v>
      </c>
      <c r="J11" t="s">
        <v>356</v>
      </c>
      <c r="K11" t="s">
        <v>356</v>
      </c>
      <c r="L11" t="s">
        <v>356</v>
      </c>
      <c r="M11" t="s">
        <v>356</v>
      </c>
      <c r="N11" t="s">
        <v>356</v>
      </c>
      <c r="O11" t="s">
        <v>356</v>
      </c>
      <c r="P11" t="s">
        <v>356</v>
      </c>
      <c r="Q11" t="s">
        <v>356</v>
      </c>
      <c r="R11" t="s">
        <v>356</v>
      </c>
      <c r="S11" t="str" cm="1">
        <f t="array" ref="S11">IFERROR(LOOKUP(2,1/(E11:R11&lt;&gt;".."),E11:R11)/100,"")</f>
        <v/>
      </c>
      <c r="T11" t="str" cm="1">
        <f t="array" ref="T11">IFERROR(--LEFT(LOOKUP(2,1/(E11:R11&lt;&gt;".."),E$1:R$1),4),"")</f>
        <v/>
      </c>
    </row>
    <row r="12" spans="1:20" x14ac:dyDescent="0.35">
      <c r="A12" t="s">
        <v>222</v>
      </c>
      <c r="B12" s="1" t="s">
        <v>136</v>
      </c>
      <c r="C12" t="s">
        <v>88</v>
      </c>
      <c r="D12" s="1" t="s">
        <v>318</v>
      </c>
      <c r="E12" t="s">
        <v>356</v>
      </c>
      <c r="F12" t="s">
        <v>356</v>
      </c>
      <c r="G12" t="s">
        <v>356</v>
      </c>
      <c r="H12">
        <v>13.29993</v>
      </c>
      <c r="I12">
        <v>11.26061</v>
      </c>
      <c r="J12">
        <v>14.7225</v>
      </c>
      <c r="K12">
        <v>15.166399999999999</v>
      </c>
      <c r="L12">
        <v>17.14432</v>
      </c>
      <c r="M12" t="s">
        <v>356</v>
      </c>
      <c r="N12" t="s">
        <v>356</v>
      </c>
      <c r="O12" t="s">
        <v>356</v>
      </c>
      <c r="P12" t="s">
        <v>356</v>
      </c>
      <c r="Q12" t="s">
        <v>356</v>
      </c>
      <c r="R12" t="s">
        <v>356</v>
      </c>
      <c r="S12" cm="1">
        <f t="array" ref="S12">IFERROR(LOOKUP(2,1/(E12:R12&lt;&gt;".."),E12:R12)/100,"")</f>
        <v>0.17144320000000002</v>
      </c>
      <c r="T12" cm="1">
        <f t="array" ref="T12">IFERROR(--LEFT(LOOKUP(2,1/(E12:R12&lt;&gt;".."),E$1:R$1),4),"")</f>
        <v>2019</v>
      </c>
    </row>
    <row r="13" spans="1:20" x14ac:dyDescent="0.35">
      <c r="A13" t="s">
        <v>535</v>
      </c>
      <c r="B13" s="1" t="s">
        <v>77</v>
      </c>
      <c r="C13" t="s">
        <v>88</v>
      </c>
      <c r="D13" s="1" t="s">
        <v>318</v>
      </c>
      <c r="E13">
        <v>15.102969999999999</v>
      </c>
      <c r="F13" t="s">
        <v>356</v>
      </c>
      <c r="G13" t="s">
        <v>356</v>
      </c>
      <c r="H13">
        <v>0</v>
      </c>
      <c r="I13">
        <v>2.2222200000000001</v>
      </c>
      <c r="J13" t="s">
        <v>356</v>
      </c>
      <c r="K13" t="s">
        <v>356</v>
      </c>
      <c r="L13" t="s">
        <v>356</v>
      </c>
      <c r="M13" t="s">
        <v>356</v>
      </c>
      <c r="N13" t="s">
        <v>356</v>
      </c>
      <c r="O13" t="s">
        <v>356</v>
      </c>
      <c r="P13" t="s">
        <v>356</v>
      </c>
      <c r="Q13" t="s">
        <v>356</v>
      </c>
      <c r="R13" t="s">
        <v>356</v>
      </c>
      <c r="S13" cm="1">
        <f t="array" ref="S13">IFERROR(LOOKUP(2,1/(E13:R13&lt;&gt;".."),E13:R13)/100,"")</f>
        <v>2.2222200000000001E-2</v>
      </c>
      <c r="T13" cm="1">
        <f t="array" ref="T13">IFERROR(--LEFT(LOOKUP(2,1/(E13:R13&lt;&gt;".."),E$1:R$1),4),"")</f>
        <v>2016</v>
      </c>
    </row>
    <row r="14" spans="1:20" x14ac:dyDescent="0.35">
      <c r="A14" t="s">
        <v>460</v>
      </c>
      <c r="B14" s="1" t="s">
        <v>474</v>
      </c>
      <c r="C14" t="s">
        <v>88</v>
      </c>
      <c r="D14" s="1" t="s">
        <v>318</v>
      </c>
      <c r="E14" t="s">
        <v>356</v>
      </c>
      <c r="F14">
        <v>17.00459</v>
      </c>
      <c r="G14">
        <v>17.571650000000002</v>
      </c>
      <c r="H14">
        <v>17.637689999999999</v>
      </c>
      <c r="I14" t="s">
        <v>356</v>
      </c>
      <c r="J14">
        <v>18.429569999999998</v>
      </c>
      <c r="K14">
        <v>17.397950000000002</v>
      </c>
      <c r="L14" t="s">
        <v>356</v>
      </c>
      <c r="M14" t="s">
        <v>356</v>
      </c>
      <c r="N14" t="s">
        <v>356</v>
      </c>
      <c r="O14" t="s">
        <v>356</v>
      </c>
      <c r="P14" t="s">
        <v>356</v>
      </c>
      <c r="Q14" t="s">
        <v>356</v>
      </c>
      <c r="R14" t="s">
        <v>356</v>
      </c>
      <c r="S14" cm="1">
        <f t="array" ref="S14">IFERROR(LOOKUP(2,1/(E14:R14&lt;&gt;".."),E14:R14)/100,"")</f>
        <v>0.17397950000000001</v>
      </c>
      <c r="T14" cm="1">
        <f t="array" ref="T14">IFERROR(--LEFT(LOOKUP(2,1/(E14:R14&lt;&gt;".."),E$1:R$1),4),"")</f>
        <v>2018</v>
      </c>
    </row>
    <row r="15" spans="1:20" x14ac:dyDescent="0.35">
      <c r="A15" t="s">
        <v>265</v>
      </c>
      <c r="B15" s="1" t="s">
        <v>330</v>
      </c>
      <c r="C15" t="s">
        <v>88</v>
      </c>
      <c r="D15" s="1" t="s">
        <v>318</v>
      </c>
      <c r="E15">
        <v>28.48385</v>
      </c>
      <c r="F15">
        <v>28.452590000000001</v>
      </c>
      <c r="G15">
        <v>30.89188</v>
      </c>
      <c r="H15">
        <v>29.271699999999999</v>
      </c>
      <c r="I15">
        <v>30.295069999999999</v>
      </c>
      <c r="J15" t="s">
        <v>356</v>
      </c>
      <c r="K15">
        <v>31.032260000000001</v>
      </c>
      <c r="L15" t="s">
        <v>356</v>
      </c>
      <c r="M15" t="s">
        <v>356</v>
      </c>
      <c r="N15" t="s">
        <v>356</v>
      </c>
      <c r="O15" t="s">
        <v>356</v>
      </c>
      <c r="P15" t="s">
        <v>356</v>
      </c>
      <c r="Q15" t="s">
        <v>356</v>
      </c>
      <c r="R15" t="s">
        <v>356</v>
      </c>
      <c r="S15" cm="1">
        <f t="array" ref="S15">IFERROR(LOOKUP(2,1/(E15:R15&lt;&gt;".."),E15:R15)/100,"")</f>
        <v>0.3103226</v>
      </c>
      <c r="T15" cm="1">
        <f t="array" ref="T15">IFERROR(--LEFT(LOOKUP(2,1/(E15:R15&lt;&gt;".."),E$1:R$1),4),"")</f>
        <v>2018</v>
      </c>
    </row>
    <row r="16" spans="1:20" x14ac:dyDescent="0.35">
      <c r="A16" t="s">
        <v>486</v>
      </c>
      <c r="B16" s="1" t="s">
        <v>192</v>
      </c>
      <c r="C16" t="s">
        <v>88</v>
      </c>
      <c r="D16" s="1" t="s">
        <v>318</v>
      </c>
      <c r="E16">
        <v>16.47391</v>
      </c>
      <c r="F16" t="s">
        <v>356</v>
      </c>
      <c r="G16" t="s">
        <v>356</v>
      </c>
      <c r="H16">
        <v>24.0853</v>
      </c>
      <c r="I16">
        <v>24.21987</v>
      </c>
      <c r="J16">
        <v>23.61431</v>
      </c>
      <c r="K16">
        <v>23.52158</v>
      </c>
      <c r="L16">
        <v>25.909739999999999</v>
      </c>
      <c r="M16" t="s">
        <v>356</v>
      </c>
      <c r="N16" t="s">
        <v>356</v>
      </c>
      <c r="O16" t="s">
        <v>356</v>
      </c>
      <c r="P16" t="s">
        <v>356</v>
      </c>
      <c r="Q16" t="s">
        <v>356</v>
      </c>
      <c r="R16" t="s">
        <v>356</v>
      </c>
      <c r="S16" cm="1">
        <f t="array" ref="S16">IFERROR(LOOKUP(2,1/(E16:R16&lt;&gt;".."),E16:R16)/100,"")</f>
        <v>0.25909739999999998</v>
      </c>
      <c r="T16" cm="1">
        <f t="array" ref="T16">IFERROR(--LEFT(LOOKUP(2,1/(E16:R16&lt;&gt;".."),E$1:R$1),4),"")</f>
        <v>2019</v>
      </c>
    </row>
    <row r="17" spans="1:20" x14ac:dyDescent="0.35">
      <c r="A17" t="s">
        <v>331</v>
      </c>
      <c r="B17" s="1" t="s">
        <v>327</v>
      </c>
      <c r="C17" t="s">
        <v>88</v>
      </c>
      <c r="D17" s="1" t="s">
        <v>318</v>
      </c>
      <c r="E17" t="s">
        <v>356</v>
      </c>
      <c r="F17" t="s">
        <v>356</v>
      </c>
      <c r="G17" t="s">
        <v>356</v>
      </c>
      <c r="H17" t="s">
        <v>356</v>
      </c>
      <c r="I17" t="s">
        <v>356</v>
      </c>
      <c r="J17" t="s">
        <v>356</v>
      </c>
      <c r="K17" t="s">
        <v>356</v>
      </c>
      <c r="L17" t="s">
        <v>356</v>
      </c>
      <c r="M17" t="s">
        <v>356</v>
      </c>
      <c r="N17" t="s">
        <v>356</v>
      </c>
      <c r="O17" t="s">
        <v>356</v>
      </c>
      <c r="P17" t="s">
        <v>356</v>
      </c>
      <c r="Q17" t="s">
        <v>356</v>
      </c>
      <c r="R17" t="s">
        <v>356</v>
      </c>
      <c r="S17" t="str" cm="1">
        <f t="array" ref="S17">IFERROR(LOOKUP(2,1/(E17:R17&lt;&gt;".."),E17:R17)/100,"")</f>
        <v/>
      </c>
      <c r="T17" t="str" cm="1">
        <f t="array" ref="T17">IFERROR(--LEFT(LOOKUP(2,1/(E17:R17&lt;&gt;".."),E$1:R$1),4),"")</f>
        <v/>
      </c>
    </row>
    <row r="18" spans="1:20" x14ac:dyDescent="0.35">
      <c r="A18" t="s">
        <v>490</v>
      </c>
      <c r="B18" s="1" t="s">
        <v>237</v>
      </c>
      <c r="C18" t="s">
        <v>88</v>
      </c>
      <c r="D18" s="1" t="s">
        <v>318</v>
      </c>
      <c r="E18" t="s">
        <v>356</v>
      </c>
      <c r="F18" t="s">
        <v>356</v>
      </c>
      <c r="G18" t="s">
        <v>356</v>
      </c>
      <c r="H18">
        <v>18.924620000000001</v>
      </c>
      <c r="I18">
        <v>17.018650000000001</v>
      </c>
      <c r="J18">
        <v>15.591570000000001</v>
      </c>
      <c r="K18">
        <v>16.14592</v>
      </c>
      <c r="L18">
        <v>15.590170000000001</v>
      </c>
      <c r="M18" t="s">
        <v>356</v>
      </c>
      <c r="N18" t="s">
        <v>356</v>
      </c>
      <c r="O18" t="s">
        <v>356</v>
      </c>
      <c r="P18" t="s">
        <v>356</v>
      </c>
      <c r="Q18" t="s">
        <v>356</v>
      </c>
      <c r="R18" t="s">
        <v>356</v>
      </c>
      <c r="S18" cm="1">
        <f t="array" ref="S18">IFERROR(LOOKUP(2,1/(E18:R18&lt;&gt;".."),E18:R18)/100,"")</f>
        <v>0.1559017</v>
      </c>
      <c r="T18" cm="1">
        <f t="array" ref="T18">IFERROR(--LEFT(LOOKUP(2,1/(E18:R18&lt;&gt;".."),E$1:R$1),4),"")</f>
        <v>2019</v>
      </c>
    </row>
    <row r="19" spans="1:20" x14ac:dyDescent="0.35">
      <c r="A19" t="s">
        <v>425</v>
      </c>
      <c r="B19" s="1" t="s">
        <v>259</v>
      </c>
      <c r="C19" t="s">
        <v>88</v>
      </c>
      <c r="D19" s="1" t="s">
        <v>318</v>
      </c>
      <c r="E19" t="s">
        <v>356</v>
      </c>
      <c r="F19" t="s">
        <v>356</v>
      </c>
      <c r="G19" t="s">
        <v>356</v>
      </c>
      <c r="H19" t="s">
        <v>356</v>
      </c>
      <c r="I19">
        <v>11.276120000000001</v>
      </c>
      <c r="J19">
        <v>11.276120000000001</v>
      </c>
      <c r="K19" t="s">
        <v>356</v>
      </c>
      <c r="L19">
        <v>11.14589</v>
      </c>
      <c r="M19" t="s">
        <v>356</v>
      </c>
      <c r="N19" t="s">
        <v>356</v>
      </c>
      <c r="O19" t="s">
        <v>356</v>
      </c>
      <c r="P19" t="s">
        <v>356</v>
      </c>
      <c r="Q19" t="s">
        <v>356</v>
      </c>
      <c r="R19" t="s">
        <v>356</v>
      </c>
      <c r="S19" cm="1">
        <f t="array" ref="S19">IFERROR(LOOKUP(2,1/(E19:R19&lt;&gt;".."),E19:R19)/100,"")</f>
        <v>0.1114589</v>
      </c>
      <c r="T19" cm="1">
        <f t="array" ref="T19">IFERROR(--LEFT(LOOKUP(2,1/(E19:R19&lt;&gt;".."),E$1:R$1),4),"")</f>
        <v>2019</v>
      </c>
    </row>
    <row r="20" spans="1:20" x14ac:dyDescent="0.35">
      <c r="A20" t="s">
        <v>221</v>
      </c>
      <c r="B20" s="1" t="s">
        <v>54</v>
      </c>
      <c r="C20" t="s">
        <v>88</v>
      </c>
      <c r="D20" s="1" t="s">
        <v>318</v>
      </c>
      <c r="E20" t="s">
        <v>356</v>
      </c>
      <c r="F20" t="s">
        <v>356</v>
      </c>
      <c r="G20" t="s">
        <v>356</v>
      </c>
      <c r="H20" t="s">
        <v>356</v>
      </c>
      <c r="I20" t="s">
        <v>356</v>
      </c>
      <c r="J20" t="s">
        <v>356</v>
      </c>
      <c r="K20" t="s">
        <v>356</v>
      </c>
      <c r="L20" t="s">
        <v>356</v>
      </c>
      <c r="M20" t="s">
        <v>356</v>
      </c>
      <c r="N20" t="s">
        <v>356</v>
      </c>
      <c r="O20" t="s">
        <v>356</v>
      </c>
      <c r="P20" t="s">
        <v>356</v>
      </c>
      <c r="Q20" t="s">
        <v>356</v>
      </c>
      <c r="R20" t="s">
        <v>356</v>
      </c>
      <c r="S20" t="str" cm="1">
        <f t="array" ref="S20">IFERROR(LOOKUP(2,1/(E20:R20&lt;&gt;".."),E20:R20)/100,"")</f>
        <v/>
      </c>
      <c r="T20" t="str" cm="1">
        <f t="array" ref="T20">IFERROR(--LEFT(LOOKUP(2,1/(E20:R20&lt;&gt;".."),E$1:R$1),4),"")</f>
        <v/>
      </c>
    </row>
    <row r="21" spans="1:20" x14ac:dyDescent="0.35">
      <c r="A21" t="s">
        <v>492</v>
      </c>
      <c r="B21" s="1" t="s">
        <v>511</v>
      </c>
      <c r="C21" t="s">
        <v>88</v>
      </c>
      <c r="D21" s="1" t="s">
        <v>318</v>
      </c>
      <c r="E21" t="s">
        <v>356</v>
      </c>
      <c r="F21" t="s">
        <v>356</v>
      </c>
      <c r="G21" t="s">
        <v>356</v>
      </c>
      <c r="H21">
        <v>33.492789999999999</v>
      </c>
      <c r="I21">
        <v>33.148850000000003</v>
      </c>
      <c r="J21">
        <v>33.232039999999998</v>
      </c>
      <c r="K21" t="s">
        <v>356</v>
      </c>
      <c r="L21" t="s">
        <v>356</v>
      </c>
      <c r="M21" t="s">
        <v>356</v>
      </c>
      <c r="N21" t="s">
        <v>356</v>
      </c>
      <c r="O21" t="s">
        <v>356</v>
      </c>
      <c r="P21" t="s">
        <v>356</v>
      </c>
      <c r="Q21" t="s">
        <v>356</v>
      </c>
      <c r="R21" t="s">
        <v>356</v>
      </c>
      <c r="S21" cm="1">
        <f t="array" ref="S21">IFERROR(LOOKUP(2,1/(E21:R21&lt;&gt;".."),E21:R21)/100,"")</f>
        <v>0.33232039999999996</v>
      </c>
      <c r="T21" cm="1">
        <f t="array" ref="T21">IFERROR(--LEFT(LOOKUP(2,1/(E21:R21&lt;&gt;".."),E$1:R$1),4),"")</f>
        <v>2017</v>
      </c>
    </row>
    <row r="22" spans="1:20" x14ac:dyDescent="0.35">
      <c r="A22" t="s">
        <v>502</v>
      </c>
      <c r="B22" s="1" t="s">
        <v>499</v>
      </c>
      <c r="C22" t="s">
        <v>88</v>
      </c>
      <c r="D22" s="1" t="s">
        <v>318</v>
      </c>
      <c r="E22">
        <v>16.651119999999999</v>
      </c>
      <c r="F22">
        <v>17.290790000000001</v>
      </c>
      <c r="G22">
        <v>17.974889999999998</v>
      </c>
      <c r="H22">
        <v>17.382829999999998</v>
      </c>
      <c r="I22">
        <v>17.054580000000001</v>
      </c>
      <c r="J22">
        <v>16.70148</v>
      </c>
      <c r="K22">
        <v>16.989650000000001</v>
      </c>
      <c r="L22" t="s">
        <v>356</v>
      </c>
      <c r="M22" t="s">
        <v>356</v>
      </c>
      <c r="N22" t="s">
        <v>356</v>
      </c>
      <c r="O22" t="s">
        <v>356</v>
      </c>
      <c r="P22" t="s">
        <v>356</v>
      </c>
      <c r="Q22" t="s">
        <v>356</v>
      </c>
      <c r="R22" t="s">
        <v>356</v>
      </c>
      <c r="S22" cm="1">
        <f t="array" ref="S22">IFERROR(LOOKUP(2,1/(E22:R22&lt;&gt;".."),E22:R22)/100,"")</f>
        <v>0.16989650000000001</v>
      </c>
      <c r="T22" cm="1">
        <f t="array" ref="T22">IFERROR(--LEFT(LOOKUP(2,1/(E22:R22&lt;&gt;".."),E$1:R$1),4),"")</f>
        <v>2018</v>
      </c>
    </row>
    <row r="23" spans="1:20" x14ac:dyDescent="0.35">
      <c r="A23" t="s">
        <v>516</v>
      </c>
      <c r="B23" s="1" t="s">
        <v>413</v>
      </c>
      <c r="C23" t="s">
        <v>88</v>
      </c>
      <c r="D23" s="1" t="s">
        <v>318</v>
      </c>
      <c r="E23" t="s">
        <v>356</v>
      </c>
      <c r="F23" t="s">
        <v>356</v>
      </c>
      <c r="G23" t="s">
        <v>356</v>
      </c>
      <c r="H23">
        <v>18.010590000000001</v>
      </c>
      <c r="I23" t="s">
        <v>356</v>
      </c>
      <c r="J23" t="s">
        <v>356</v>
      </c>
      <c r="K23" t="s">
        <v>356</v>
      </c>
      <c r="L23" t="s">
        <v>356</v>
      </c>
      <c r="M23" t="s">
        <v>356</v>
      </c>
      <c r="N23" t="s">
        <v>356</v>
      </c>
      <c r="O23" t="s">
        <v>356</v>
      </c>
      <c r="P23" t="s">
        <v>356</v>
      </c>
      <c r="Q23" t="s">
        <v>356</v>
      </c>
      <c r="R23" t="s">
        <v>356</v>
      </c>
      <c r="S23" cm="1">
        <f t="array" ref="S23">IFERROR(LOOKUP(2,1/(E23:R23&lt;&gt;".."),E23:R23)/100,"")</f>
        <v>0.18010590000000001</v>
      </c>
      <c r="T23" cm="1">
        <f t="array" ref="T23">IFERROR(--LEFT(LOOKUP(2,1/(E23:R23&lt;&gt;".."),E$1:R$1),4),"")</f>
        <v>2015</v>
      </c>
    </row>
    <row r="24" spans="1:20" x14ac:dyDescent="0.35">
      <c r="A24" t="s">
        <v>252</v>
      </c>
      <c r="B24" s="1" t="s">
        <v>447</v>
      </c>
      <c r="C24" t="s">
        <v>88</v>
      </c>
      <c r="D24" s="1" t="s">
        <v>318</v>
      </c>
      <c r="E24" t="s">
        <v>356</v>
      </c>
      <c r="F24" t="s">
        <v>356</v>
      </c>
      <c r="G24">
        <v>14.24639</v>
      </c>
      <c r="H24">
        <v>20.709820000000001</v>
      </c>
      <c r="I24" t="s">
        <v>356</v>
      </c>
      <c r="J24" t="s">
        <v>356</v>
      </c>
      <c r="K24">
        <v>20.91009</v>
      </c>
      <c r="L24" t="s">
        <v>356</v>
      </c>
      <c r="M24" t="s">
        <v>356</v>
      </c>
      <c r="N24" t="s">
        <v>356</v>
      </c>
      <c r="O24" t="s">
        <v>356</v>
      </c>
      <c r="P24" t="s">
        <v>356</v>
      </c>
      <c r="Q24" t="s">
        <v>356</v>
      </c>
      <c r="R24" t="s">
        <v>356</v>
      </c>
      <c r="S24" cm="1">
        <f t="array" ref="S24">IFERROR(LOOKUP(2,1/(E24:R24&lt;&gt;".."),E24:R24)/100,"")</f>
        <v>0.20910090000000001</v>
      </c>
      <c r="T24" cm="1">
        <f t="array" ref="T24">IFERROR(--LEFT(LOOKUP(2,1/(E24:R24&lt;&gt;".."),E$1:R$1),4),"")</f>
        <v>2018</v>
      </c>
    </row>
    <row r="25" spans="1:20" x14ac:dyDescent="0.35">
      <c r="A25" t="s">
        <v>111</v>
      </c>
      <c r="B25" s="1" t="s">
        <v>435</v>
      </c>
      <c r="C25" t="s">
        <v>88</v>
      </c>
      <c r="D25" s="1" t="s">
        <v>318</v>
      </c>
      <c r="E25">
        <v>30.97345</v>
      </c>
      <c r="F25" t="s">
        <v>356</v>
      </c>
      <c r="G25" t="s">
        <v>356</v>
      </c>
      <c r="H25">
        <v>23.68421</v>
      </c>
      <c r="I25" t="s">
        <v>356</v>
      </c>
      <c r="J25">
        <v>20.43796</v>
      </c>
      <c r="K25">
        <v>38.028170000000003</v>
      </c>
      <c r="L25" t="s">
        <v>356</v>
      </c>
      <c r="M25" t="s">
        <v>356</v>
      </c>
      <c r="N25" t="s">
        <v>356</v>
      </c>
      <c r="O25" t="s">
        <v>356</v>
      </c>
      <c r="P25" t="s">
        <v>356</v>
      </c>
      <c r="Q25" t="s">
        <v>356</v>
      </c>
      <c r="R25" t="s">
        <v>356</v>
      </c>
      <c r="S25" cm="1">
        <f t="array" ref="S25">IFERROR(LOOKUP(2,1/(E25:R25&lt;&gt;".."),E25:R25)/100,"")</f>
        <v>0.38028170000000006</v>
      </c>
      <c r="T25" cm="1">
        <f t="array" ref="T25">IFERROR(--LEFT(LOOKUP(2,1/(E25:R25&lt;&gt;".."),E$1:R$1),4),"")</f>
        <v>2018</v>
      </c>
    </row>
    <row r="26" spans="1:20" x14ac:dyDescent="0.35">
      <c r="A26" t="s">
        <v>83</v>
      </c>
      <c r="B26" s="1" t="s">
        <v>216</v>
      </c>
      <c r="C26" t="s">
        <v>88</v>
      </c>
      <c r="D26" s="1" t="s">
        <v>318</v>
      </c>
      <c r="E26" t="s">
        <v>356</v>
      </c>
      <c r="F26" t="s">
        <v>356</v>
      </c>
      <c r="G26" t="s">
        <v>356</v>
      </c>
      <c r="H26" t="s">
        <v>356</v>
      </c>
      <c r="I26" t="s">
        <v>356</v>
      </c>
      <c r="J26" t="s">
        <v>356</v>
      </c>
      <c r="K26" t="s">
        <v>356</v>
      </c>
      <c r="L26" t="s">
        <v>356</v>
      </c>
      <c r="M26" t="s">
        <v>356</v>
      </c>
      <c r="N26" t="s">
        <v>356</v>
      </c>
      <c r="O26" t="s">
        <v>356</v>
      </c>
      <c r="P26" t="s">
        <v>356</v>
      </c>
      <c r="Q26" t="s">
        <v>356</v>
      </c>
      <c r="R26" t="s">
        <v>356</v>
      </c>
      <c r="S26" t="str" cm="1">
        <f t="array" ref="S26">IFERROR(LOOKUP(2,1/(E26:R26&lt;&gt;".."),E26:R26)/100,"")</f>
        <v/>
      </c>
      <c r="T26" t="str" cm="1">
        <f t="array" ref="T26">IFERROR(--LEFT(LOOKUP(2,1/(E26:R26&lt;&gt;".."),E$1:R$1),4),"")</f>
        <v/>
      </c>
    </row>
    <row r="27" spans="1:20" x14ac:dyDescent="0.35">
      <c r="A27" t="s">
        <v>422</v>
      </c>
      <c r="B27" s="1" t="s">
        <v>109</v>
      </c>
      <c r="C27" t="s">
        <v>88</v>
      </c>
      <c r="D27" s="1" t="s">
        <v>318</v>
      </c>
      <c r="E27" t="s">
        <v>356</v>
      </c>
      <c r="F27" t="s">
        <v>356</v>
      </c>
      <c r="G27" t="s">
        <v>356</v>
      </c>
      <c r="H27" t="s">
        <v>356</v>
      </c>
      <c r="I27" t="s">
        <v>356</v>
      </c>
      <c r="J27" t="s">
        <v>356</v>
      </c>
      <c r="K27" t="s">
        <v>356</v>
      </c>
      <c r="L27" t="s">
        <v>356</v>
      </c>
      <c r="M27" t="s">
        <v>356</v>
      </c>
      <c r="N27" t="s">
        <v>356</v>
      </c>
      <c r="O27" t="s">
        <v>356</v>
      </c>
      <c r="P27" t="s">
        <v>356</v>
      </c>
      <c r="Q27" t="s">
        <v>356</v>
      </c>
      <c r="R27" t="s">
        <v>356</v>
      </c>
      <c r="S27" t="str" cm="1">
        <f t="array" ref="S27">IFERROR(LOOKUP(2,1/(E27:R27&lt;&gt;".."),E27:R27)/100,"")</f>
        <v/>
      </c>
      <c r="T27" t="str" cm="1">
        <f t="array" ref="T27">IFERROR(--LEFT(LOOKUP(2,1/(E27:R27&lt;&gt;".."),E$1:R$1),4),"")</f>
        <v/>
      </c>
    </row>
    <row r="28" spans="1:20" x14ac:dyDescent="0.35">
      <c r="A28" t="s">
        <v>392</v>
      </c>
      <c r="B28" s="1" t="s">
        <v>529</v>
      </c>
      <c r="C28" t="s">
        <v>88</v>
      </c>
      <c r="D28" s="1" t="s">
        <v>318</v>
      </c>
      <c r="E28" t="s">
        <v>356</v>
      </c>
      <c r="F28" t="s">
        <v>356</v>
      </c>
      <c r="G28" t="s">
        <v>356</v>
      </c>
      <c r="H28">
        <v>16.979939999999999</v>
      </c>
      <c r="I28">
        <v>19.708469999999998</v>
      </c>
      <c r="J28">
        <v>20.312259999999998</v>
      </c>
      <c r="K28">
        <v>21.216360000000002</v>
      </c>
      <c r="L28">
        <v>23.522449999999999</v>
      </c>
      <c r="M28" t="s">
        <v>356</v>
      </c>
      <c r="N28" t="s">
        <v>356</v>
      </c>
      <c r="O28" t="s">
        <v>356</v>
      </c>
      <c r="P28" t="s">
        <v>356</v>
      </c>
      <c r="Q28" t="s">
        <v>356</v>
      </c>
      <c r="R28" t="s">
        <v>356</v>
      </c>
      <c r="S28" cm="1">
        <f t="array" ref="S28">IFERROR(LOOKUP(2,1/(E28:R28&lt;&gt;".."),E28:R28)/100,"")</f>
        <v>0.2352245</v>
      </c>
      <c r="T28" cm="1">
        <f t="array" ref="T28">IFERROR(--LEFT(LOOKUP(2,1/(E28:R28&lt;&gt;".."),E$1:R$1),4),"")</f>
        <v>2019</v>
      </c>
    </row>
    <row r="29" spans="1:20" x14ac:dyDescent="0.35">
      <c r="A29" t="s">
        <v>91</v>
      </c>
      <c r="B29" s="1" t="s">
        <v>377</v>
      </c>
      <c r="C29" t="s">
        <v>88</v>
      </c>
      <c r="D29" s="1" t="s">
        <v>318</v>
      </c>
      <c r="E29" t="s">
        <v>356</v>
      </c>
      <c r="F29" t="s">
        <v>356</v>
      </c>
      <c r="G29" t="s">
        <v>356</v>
      </c>
      <c r="H29" t="s">
        <v>356</v>
      </c>
      <c r="I29" t="s">
        <v>356</v>
      </c>
      <c r="J29" t="s">
        <v>356</v>
      </c>
      <c r="K29" t="s">
        <v>356</v>
      </c>
      <c r="L29" t="s">
        <v>356</v>
      </c>
      <c r="M29" t="s">
        <v>356</v>
      </c>
      <c r="N29" t="s">
        <v>356</v>
      </c>
      <c r="O29" t="s">
        <v>356</v>
      </c>
      <c r="P29" t="s">
        <v>356</v>
      </c>
      <c r="Q29" t="s">
        <v>356</v>
      </c>
      <c r="R29" t="s">
        <v>356</v>
      </c>
      <c r="S29" t="str" cm="1">
        <f t="array" ref="S29">IFERROR(LOOKUP(2,1/(E29:R29&lt;&gt;".."),E29:R29)/100,"")</f>
        <v/>
      </c>
      <c r="T29" t="str" cm="1">
        <f t="array" ref="T29">IFERROR(--LEFT(LOOKUP(2,1/(E29:R29&lt;&gt;".."),E$1:R$1),4),"")</f>
        <v/>
      </c>
    </row>
    <row r="30" spans="1:20" x14ac:dyDescent="0.35">
      <c r="A30" t="s">
        <v>491</v>
      </c>
      <c r="B30" s="1" t="s">
        <v>193</v>
      </c>
      <c r="C30" t="s">
        <v>88</v>
      </c>
      <c r="D30" s="1" t="s">
        <v>318</v>
      </c>
      <c r="E30">
        <v>12.96058</v>
      </c>
      <c r="F30" t="s">
        <v>356</v>
      </c>
      <c r="G30">
        <v>16.146329999999999</v>
      </c>
      <c r="H30">
        <v>15.348000000000001</v>
      </c>
      <c r="I30">
        <v>16.859539999999999</v>
      </c>
      <c r="J30">
        <v>17.733599999999999</v>
      </c>
      <c r="K30">
        <v>18.36665</v>
      </c>
      <c r="L30" t="s">
        <v>356</v>
      </c>
      <c r="M30" t="s">
        <v>356</v>
      </c>
      <c r="N30" t="s">
        <v>356</v>
      </c>
      <c r="O30" t="s">
        <v>356</v>
      </c>
      <c r="P30" t="s">
        <v>356</v>
      </c>
      <c r="Q30" t="s">
        <v>356</v>
      </c>
      <c r="R30" t="s">
        <v>356</v>
      </c>
      <c r="S30" cm="1">
        <f t="array" ref="S30">IFERROR(LOOKUP(2,1/(E30:R30&lt;&gt;".."),E30:R30)/100,"")</f>
        <v>0.18366650000000001</v>
      </c>
      <c r="T30" cm="1">
        <f t="array" ref="T30">IFERROR(--LEFT(LOOKUP(2,1/(E30:R30&lt;&gt;".."),E$1:R$1),4),"")</f>
        <v>2018</v>
      </c>
    </row>
    <row r="31" spans="1:20" x14ac:dyDescent="0.35">
      <c r="A31" t="s">
        <v>3</v>
      </c>
      <c r="B31" s="1" t="s">
        <v>251</v>
      </c>
      <c r="C31" t="s">
        <v>88</v>
      </c>
      <c r="D31" s="1" t="s">
        <v>318</v>
      </c>
      <c r="E31" t="s">
        <v>356</v>
      </c>
      <c r="F31" t="s">
        <v>356</v>
      </c>
      <c r="G31" t="s">
        <v>356</v>
      </c>
      <c r="H31" t="s">
        <v>356</v>
      </c>
      <c r="I31" t="s">
        <v>356</v>
      </c>
      <c r="J31" t="s">
        <v>356</v>
      </c>
      <c r="K31" t="s">
        <v>356</v>
      </c>
      <c r="L31" t="s">
        <v>356</v>
      </c>
      <c r="M31" t="s">
        <v>356</v>
      </c>
      <c r="N31" t="s">
        <v>356</v>
      </c>
      <c r="O31" t="s">
        <v>356</v>
      </c>
      <c r="P31" t="s">
        <v>356</v>
      </c>
      <c r="Q31" t="s">
        <v>356</v>
      </c>
      <c r="R31" t="s">
        <v>356</v>
      </c>
      <c r="S31" t="str" cm="1">
        <f t="array" ref="S31">IFERROR(LOOKUP(2,1/(E31:R31&lt;&gt;".."),E31:R31)/100,"")</f>
        <v/>
      </c>
      <c r="T31" t="str" cm="1">
        <f t="array" ref="T31">IFERROR(--LEFT(LOOKUP(2,1/(E31:R31&lt;&gt;".."),E$1:R$1),4),"")</f>
        <v/>
      </c>
    </row>
    <row r="32" spans="1:20" x14ac:dyDescent="0.35">
      <c r="A32" t="s">
        <v>229</v>
      </c>
      <c r="B32" s="1" t="s">
        <v>191</v>
      </c>
      <c r="C32" t="s">
        <v>88</v>
      </c>
      <c r="D32" s="1" t="s">
        <v>318</v>
      </c>
      <c r="E32">
        <v>18.256830000000001</v>
      </c>
      <c r="F32" t="s">
        <v>356</v>
      </c>
      <c r="G32" t="s">
        <v>356</v>
      </c>
      <c r="H32">
        <v>30.491330000000001</v>
      </c>
      <c r="I32" t="s">
        <v>356</v>
      </c>
      <c r="J32" t="s">
        <v>356</v>
      </c>
      <c r="K32">
        <v>39.227469999999997</v>
      </c>
      <c r="L32">
        <v>40.144379999999998</v>
      </c>
      <c r="M32" t="s">
        <v>356</v>
      </c>
      <c r="N32" t="s">
        <v>356</v>
      </c>
      <c r="O32" t="s">
        <v>356</v>
      </c>
      <c r="P32" t="s">
        <v>356</v>
      </c>
      <c r="Q32" t="s">
        <v>356</v>
      </c>
      <c r="R32" t="s">
        <v>356</v>
      </c>
      <c r="S32" cm="1">
        <f t="array" ref="S32">IFERROR(LOOKUP(2,1/(E32:R32&lt;&gt;".."),E32:R32)/100,"")</f>
        <v>0.40144379999999996</v>
      </c>
      <c r="T32" cm="1">
        <f t="array" ref="T32">IFERROR(--LEFT(LOOKUP(2,1/(E32:R32&lt;&gt;".."),E$1:R$1),4),"")</f>
        <v>2019</v>
      </c>
    </row>
    <row r="33" spans="1:20" x14ac:dyDescent="0.35">
      <c r="A33" t="s">
        <v>94</v>
      </c>
      <c r="B33" s="1" t="s">
        <v>344</v>
      </c>
      <c r="C33" t="s">
        <v>88</v>
      </c>
      <c r="D33" s="1" t="s">
        <v>318</v>
      </c>
      <c r="E33">
        <v>22.675820000000002</v>
      </c>
      <c r="F33">
        <v>21.200489999999999</v>
      </c>
      <c r="G33">
        <v>21.04682</v>
      </c>
      <c r="H33">
        <v>20.79307</v>
      </c>
      <c r="I33">
        <v>19.664480000000001</v>
      </c>
      <c r="J33">
        <v>20.513269999999999</v>
      </c>
      <c r="K33">
        <v>19.276800000000001</v>
      </c>
      <c r="L33" t="s">
        <v>356</v>
      </c>
      <c r="M33" t="s">
        <v>356</v>
      </c>
      <c r="N33" t="s">
        <v>356</v>
      </c>
      <c r="O33" t="s">
        <v>356</v>
      </c>
      <c r="P33" t="s">
        <v>356</v>
      </c>
      <c r="Q33" t="s">
        <v>356</v>
      </c>
      <c r="R33" t="s">
        <v>356</v>
      </c>
      <c r="S33" cm="1">
        <f t="array" ref="S33">IFERROR(LOOKUP(2,1/(E33:R33&lt;&gt;".."),E33:R33)/100,"")</f>
        <v>0.19276800000000002</v>
      </c>
      <c r="T33" cm="1">
        <f t="array" ref="T33">IFERROR(--LEFT(LOOKUP(2,1/(E33:R33&lt;&gt;".."),E$1:R$1),4),"")</f>
        <v>2018</v>
      </c>
    </row>
    <row r="34" spans="1:20" x14ac:dyDescent="0.35">
      <c r="A34" t="s">
        <v>293</v>
      </c>
      <c r="B34" s="1" t="s">
        <v>349</v>
      </c>
      <c r="C34" t="s">
        <v>88</v>
      </c>
      <c r="D34" s="1" t="s">
        <v>318</v>
      </c>
      <c r="E34">
        <v>20.345960000000002</v>
      </c>
      <c r="F34" t="s">
        <v>356</v>
      </c>
      <c r="G34">
        <v>15.927899999999999</v>
      </c>
      <c r="H34">
        <v>15.52605</v>
      </c>
      <c r="I34">
        <v>14.59436</v>
      </c>
      <c r="J34">
        <v>15.42149</v>
      </c>
      <c r="K34">
        <v>19.678599999999999</v>
      </c>
      <c r="L34">
        <v>20.264600000000002</v>
      </c>
      <c r="M34" t="s">
        <v>356</v>
      </c>
      <c r="N34" t="s">
        <v>356</v>
      </c>
      <c r="O34" t="s">
        <v>356</v>
      </c>
      <c r="P34" t="s">
        <v>356</v>
      </c>
      <c r="Q34" t="s">
        <v>356</v>
      </c>
      <c r="R34" t="s">
        <v>356</v>
      </c>
      <c r="S34" cm="1">
        <f t="array" ref="S34">IFERROR(LOOKUP(2,1/(E34:R34&lt;&gt;".."),E34:R34)/100,"")</f>
        <v>0.20264600000000002</v>
      </c>
      <c r="T34" cm="1">
        <f t="array" ref="T34">IFERROR(--LEFT(LOOKUP(2,1/(E34:R34&lt;&gt;".."),E$1:R$1),4),"")</f>
        <v>2019</v>
      </c>
    </row>
    <row r="35" spans="1:20" x14ac:dyDescent="0.35">
      <c r="A35" t="s">
        <v>559</v>
      </c>
      <c r="B35" s="1" t="s">
        <v>215</v>
      </c>
      <c r="C35" t="s">
        <v>88</v>
      </c>
      <c r="D35" s="1" t="s">
        <v>318</v>
      </c>
      <c r="E35" t="s">
        <v>356</v>
      </c>
      <c r="F35" t="s">
        <v>356</v>
      </c>
      <c r="G35" t="s">
        <v>356</v>
      </c>
      <c r="H35" t="s">
        <v>356</v>
      </c>
      <c r="I35">
        <v>24.289480000000001</v>
      </c>
      <c r="J35">
        <v>20.632819999999999</v>
      </c>
      <c r="K35">
        <v>19.672460000000001</v>
      </c>
      <c r="L35" t="s">
        <v>356</v>
      </c>
      <c r="M35" t="s">
        <v>356</v>
      </c>
      <c r="N35" t="s">
        <v>356</v>
      </c>
      <c r="O35" t="s">
        <v>356</v>
      </c>
      <c r="P35" t="s">
        <v>356</v>
      </c>
      <c r="Q35" t="s">
        <v>356</v>
      </c>
      <c r="R35" t="s">
        <v>356</v>
      </c>
      <c r="S35" cm="1">
        <f t="array" ref="S35">IFERROR(LOOKUP(2,1/(E35:R35&lt;&gt;".."),E35:R35)/100,"")</f>
        <v>0.1967246</v>
      </c>
      <c r="T35" cm="1">
        <f t="array" ref="T35">IFERROR(--LEFT(LOOKUP(2,1/(E35:R35&lt;&gt;".."),E$1:R$1),4),"")</f>
        <v>2018</v>
      </c>
    </row>
    <row r="36" spans="1:20" x14ac:dyDescent="0.35">
      <c r="A36" t="s">
        <v>231</v>
      </c>
      <c r="B36" s="1" t="s">
        <v>40</v>
      </c>
      <c r="C36" t="s">
        <v>88</v>
      </c>
      <c r="D36" s="1" t="s">
        <v>318</v>
      </c>
      <c r="E36" t="s">
        <v>356</v>
      </c>
      <c r="F36" t="s">
        <v>356</v>
      </c>
      <c r="G36" t="s">
        <v>356</v>
      </c>
      <c r="H36" t="s">
        <v>356</v>
      </c>
      <c r="I36">
        <v>11.424440000000001</v>
      </c>
      <c r="J36">
        <v>16.416589999999999</v>
      </c>
      <c r="K36">
        <v>16.126760000000001</v>
      </c>
      <c r="L36" t="s">
        <v>356</v>
      </c>
      <c r="M36" t="s">
        <v>356</v>
      </c>
      <c r="N36" t="s">
        <v>356</v>
      </c>
      <c r="O36" t="s">
        <v>356</v>
      </c>
      <c r="P36" t="s">
        <v>356</v>
      </c>
      <c r="Q36" t="s">
        <v>356</v>
      </c>
      <c r="R36" t="s">
        <v>356</v>
      </c>
      <c r="S36" cm="1">
        <f t="array" ref="S36">IFERROR(LOOKUP(2,1/(E36:R36&lt;&gt;".."),E36:R36)/100,"")</f>
        <v>0.16126760000000001</v>
      </c>
      <c r="T36" cm="1">
        <f t="array" ref="T36">IFERROR(--LEFT(LOOKUP(2,1/(E36:R36&lt;&gt;".."),E$1:R$1),4),"")</f>
        <v>2018</v>
      </c>
    </row>
    <row r="37" spans="1:20" x14ac:dyDescent="0.35">
      <c r="A37" t="s">
        <v>272</v>
      </c>
      <c r="B37" s="1" t="s">
        <v>431</v>
      </c>
      <c r="C37" t="s">
        <v>88</v>
      </c>
      <c r="D37" s="1" t="s">
        <v>318</v>
      </c>
      <c r="E37" t="s">
        <v>356</v>
      </c>
      <c r="F37" t="s">
        <v>356</v>
      </c>
      <c r="G37" t="s">
        <v>356</v>
      </c>
      <c r="H37" t="s">
        <v>356</v>
      </c>
      <c r="I37" t="s">
        <v>356</v>
      </c>
      <c r="J37" t="s">
        <v>356</v>
      </c>
      <c r="K37" t="s">
        <v>356</v>
      </c>
      <c r="L37">
        <v>23.204550000000001</v>
      </c>
      <c r="M37" t="s">
        <v>356</v>
      </c>
      <c r="N37" t="s">
        <v>356</v>
      </c>
      <c r="O37" t="s">
        <v>356</v>
      </c>
      <c r="P37" t="s">
        <v>356</v>
      </c>
      <c r="Q37" t="s">
        <v>356</v>
      </c>
      <c r="R37" t="s">
        <v>356</v>
      </c>
      <c r="S37" cm="1">
        <f t="array" ref="S37">IFERROR(LOOKUP(2,1/(E37:R37&lt;&gt;".."),E37:R37)/100,"")</f>
        <v>0.23204550000000002</v>
      </c>
      <c r="T37" cm="1">
        <f t="array" ref="T37">IFERROR(--LEFT(LOOKUP(2,1/(E37:R37&lt;&gt;".."),E$1:R$1),4),"")</f>
        <v>2019</v>
      </c>
    </row>
    <row r="38" spans="1:20" x14ac:dyDescent="0.35">
      <c r="A38" t="s">
        <v>102</v>
      </c>
      <c r="B38" s="1" t="s">
        <v>238</v>
      </c>
      <c r="C38" t="s">
        <v>88</v>
      </c>
      <c r="D38" s="1" t="s">
        <v>318</v>
      </c>
      <c r="E38" t="s">
        <v>356</v>
      </c>
      <c r="F38" t="s">
        <v>356</v>
      </c>
      <c r="G38" t="s">
        <v>356</v>
      </c>
      <c r="H38" t="s">
        <v>356</v>
      </c>
      <c r="I38" t="s">
        <v>356</v>
      </c>
      <c r="J38" t="s">
        <v>356</v>
      </c>
      <c r="K38" t="s">
        <v>356</v>
      </c>
      <c r="L38" t="s">
        <v>356</v>
      </c>
      <c r="M38" t="s">
        <v>356</v>
      </c>
      <c r="N38" t="s">
        <v>356</v>
      </c>
      <c r="O38" t="s">
        <v>356</v>
      </c>
      <c r="P38" t="s">
        <v>356</v>
      </c>
      <c r="Q38" t="s">
        <v>356</v>
      </c>
      <c r="R38" t="s">
        <v>356</v>
      </c>
      <c r="S38" t="str" cm="1">
        <f t="array" ref="S38">IFERROR(LOOKUP(2,1/(E38:R38&lt;&gt;".."),E38:R38)/100,"")</f>
        <v/>
      </c>
      <c r="T38" t="str" cm="1">
        <f t="array" ref="T38">IFERROR(--LEFT(LOOKUP(2,1/(E38:R38&lt;&gt;".."),E$1:R$1),4),"")</f>
        <v/>
      </c>
    </row>
    <row r="39" spans="1:20" x14ac:dyDescent="0.35">
      <c r="A39" t="s">
        <v>423</v>
      </c>
      <c r="B39" s="1" t="s">
        <v>140</v>
      </c>
      <c r="C39" t="s">
        <v>88</v>
      </c>
      <c r="D39" s="1" t="s">
        <v>318</v>
      </c>
      <c r="E39" t="s">
        <v>356</v>
      </c>
      <c r="F39">
        <v>20.717110000000002</v>
      </c>
      <c r="G39">
        <v>20.437259999999998</v>
      </c>
      <c r="H39">
        <v>20.02749</v>
      </c>
      <c r="I39">
        <v>21.300809999999998</v>
      </c>
      <c r="J39" t="s">
        <v>356</v>
      </c>
      <c r="K39">
        <v>22.375620000000001</v>
      </c>
      <c r="L39" t="s">
        <v>356</v>
      </c>
      <c r="M39" t="s">
        <v>356</v>
      </c>
      <c r="N39" t="s">
        <v>356</v>
      </c>
      <c r="O39" t="s">
        <v>356</v>
      </c>
      <c r="P39" t="s">
        <v>356</v>
      </c>
      <c r="Q39" t="s">
        <v>356</v>
      </c>
      <c r="R39" t="s">
        <v>356</v>
      </c>
      <c r="S39" cm="1">
        <f t="array" ref="S39">IFERROR(LOOKUP(2,1/(E39:R39&lt;&gt;".."),E39:R39)/100,"")</f>
        <v>0.22375620000000002</v>
      </c>
      <c r="T39" cm="1">
        <f t="array" ref="T39">IFERROR(--LEFT(LOOKUP(2,1/(E39:R39&lt;&gt;".."),E$1:R$1),4),"")</f>
        <v>2018</v>
      </c>
    </row>
    <row r="40" spans="1:20" x14ac:dyDescent="0.35">
      <c r="A40" t="s">
        <v>472</v>
      </c>
      <c r="B40" s="1" t="s">
        <v>400</v>
      </c>
      <c r="C40" t="s">
        <v>88</v>
      </c>
      <c r="D40" s="1" t="s">
        <v>318</v>
      </c>
      <c r="E40" t="s">
        <v>356</v>
      </c>
      <c r="F40" t="s">
        <v>356</v>
      </c>
      <c r="G40" t="s">
        <v>356</v>
      </c>
      <c r="H40" t="s">
        <v>356</v>
      </c>
      <c r="I40" t="s">
        <v>356</v>
      </c>
      <c r="J40" t="s">
        <v>356</v>
      </c>
      <c r="K40" t="s">
        <v>356</v>
      </c>
      <c r="L40" t="s">
        <v>356</v>
      </c>
      <c r="M40" t="s">
        <v>356</v>
      </c>
      <c r="N40" t="s">
        <v>356</v>
      </c>
      <c r="O40" t="s">
        <v>356</v>
      </c>
      <c r="P40" t="s">
        <v>356</v>
      </c>
      <c r="Q40" t="s">
        <v>356</v>
      </c>
      <c r="R40" t="s">
        <v>356</v>
      </c>
      <c r="S40" t="str" cm="1">
        <f t="array" ref="S40">IFERROR(LOOKUP(2,1/(E40:R40&lt;&gt;".."),E40:R40)/100,"")</f>
        <v/>
      </c>
      <c r="T40" t="str" cm="1">
        <f t="array" ref="T40">IFERROR(--LEFT(LOOKUP(2,1/(E40:R40&lt;&gt;".."),E$1:R$1),4),"")</f>
        <v/>
      </c>
    </row>
    <row r="41" spans="1:20" x14ac:dyDescent="0.35">
      <c r="A41" t="s">
        <v>533</v>
      </c>
      <c r="B41" s="1" t="s">
        <v>130</v>
      </c>
      <c r="C41" t="s">
        <v>88</v>
      </c>
      <c r="D41" s="1" t="s">
        <v>318</v>
      </c>
      <c r="E41" t="s">
        <v>356</v>
      </c>
      <c r="F41" t="s">
        <v>356</v>
      </c>
      <c r="G41" t="s">
        <v>356</v>
      </c>
      <c r="H41" t="s">
        <v>356</v>
      </c>
      <c r="I41" t="s">
        <v>356</v>
      </c>
      <c r="J41" t="s">
        <v>356</v>
      </c>
      <c r="K41" t="s">
        <v>356</v>
      </c>
      <c r="L41" t="s">
        <v>356</v>
      </c>
      <c r="M41" t="s">
        <v>356</v>
      </c>
      <c r="N41" t="s">
        <v>356</v>
      </c>
      <c r="O41" t="s">
        <v>356</v>
      </c>
      <c r="P41" t="s">
        <v>356</v>
      </c>
      <c r="Q41" t="s">
        <v>356</v>
      </c>
      <c r="R41" t="s">
        <v>356</v>
      </c>
      <c r="S41" t="str" cm="1">
        <f t="array" ref="S41">IFERROR(LOOKUP(2,1/(E41:R41&lt;&gt;".."),E41:R41)/100,"")</f>
        <v/>
      </c>
      <c r="T41" t="str" cm="1">
        <f t="array" ref="T41">IFERROR(--LEFT(LOOKUP(2,1/(E41:R41&lt;&gt;".."),E$1:R$1),4),"")</f>
        <v/>
      </c>
    </row>
    <row r="42" spans="1:20" x14ac:dyDescent="0.35">
      <c r="A42" t="s">
        <v>96</v>
      </c>
      <c r="B42" s="1" t="s">
        <v>244</v>
      </c>
      <c r="C42" t="s">
        <v>88</v>
      </c>
      <c r="D42" s="1" t="s">
        <v>318</v>
      </c>
      <c r="E42" t="s">
        <v>356</v>
      </c>
      <c r="F42" t="s">
        <v>356</v>
      </c>
      <c r="G42" t="s">
        <v>356</v>
      </c>
      <c r="H42" t="s">
        <v>356</v>
      </c>
      <c r="I42" t="s">
        <v>356</v>
      </c>
      <c r="J42" t="s">
        <v>356</v>
      </c>
      <c r="K42" t="s">
        <v>356</v>
      </c>
      <c r="L42" t="s">
        <v>356</v>
      </c>
      <c r="M42" t="s">
        <v>356</v>
      </c>
      <c r="N42" t="s">
        <v>356</v>
      </c>
      <c r="O42" t="s">
        <v>356</v>
      </c>
      <c r="P42" t="s">
        <v>356</v>
      </c>
      <c r="Q42" t="s">
        <v>356</v>
      </c>
      <c r="R42" t="s">
        <v>356</v>
      </c>
      <c r="S42" t="str" cm="1">
        <f t="array" ref="S42">IFERROR(LOOKUP(2,1/(E42:R42&lt;&gt;".."),E42:R42)/100,"")</f>
        <v/>
      </c>
      <c r="T42" t="str" cm="1">
        <f t="array" ref="T42">IFERROR(--LEFT(LOOKUP(2,1/(E42:R42&lt;&gt;".."),E$1:R$1),4),"")</f>
        <v/>
      </c>
    </row>
    <row r="43" spans="1:20" x14ac:dyDescent="0.35">
      <c r="A43" t="s">
        <v>531</v>
      </c>
      <c r="B43" s="1" t="s">
        <v>271</v>
      </c>
      <c r="C43" t="s">
        <v>88</v>
      </c>
      <c r="D43" s="1" t="s">
        <v>318</v>
      </c>
      <c r="E43" t="s">
        <v>356</v>
      </c>
      <c r="F43" t="s">
        <v>356</v>
      </c>
      <c r="G43" t="s">
        <v>356</v>
      </c>
      <c r="H43" t="s">
        <v>356</v>
      </c>
      <c r="I43" t="s">
        <v>356</v>
      </c>
      <c r="J43" t="s">
        <v>356</v>
      </c>
      <c r="K43" t="s">
        <v>356</v>
      </c>
      <c r="L43" t="s">
        <v>356</v>
      </c>
      <c r="M43" t="s">
        <v>356</v>
      </c>
      <c r="N43" t="s">
        <v>356</v>
      </c>
      <c r="O43" t="s">
        <v>356</v>
      </c>
      <c r="P43" t="s">
        <v>356</v>
      </c>
      <c r="Q43" t="s">
        <v>356</v>
      </c>
      <c r="R43" t="s">
        <v>356</v>
      </c>
      <c r="S43" t="str" cm="1">
        <f t="array" ref="S43">IFERROR(LOOKUP(2,1/(E43:R43&lt;&gt;".."),E43:R43)/100,"")</f>
        <v/>
      </c>
      <c r="T43" t="str" cm="1">
        <f t="array" ref="T43">IFERROR(--LEFT(LOOKUP(2,1/(E43:R43&lt;&gt;".."),E$1:R$1),4),"")</f>
        <v/>
      </c>
    </row>
    <row r="44" spans="1:20" x14ac:dyDescent="0.35">
      <c r="A44" t="s">
        <v>22</v>
      </c>
      <c r="B44" s="1" t="s">
        <v>350</v>
      </c>
      <c r="C44" t="s">
        <v>88</v>
      </c>
      <c r="D44" s="1" t="s">
        <v>318</v>
      </c>
      <c r="E44" t="s">
        <v>356</v>
      </c>
      <c r="F44" t="s">
        <v>356</v>
      </c>
      <c r="G44" t="s">
        <v>356</v>
      </c>
      <c r="H44" t="s">
        <v>356</v>
      </c>
      <c r="I44" t="s">
        <v>356</v>
      </c>
      <c r="J44" t="s">
        <v>356</v>
      </c>
      <c r="K44" t="s">
        <v>356</v>
      </c>
      <c r="L44" t="s">
        <v>356</v>
      </c>
      <c r="M44" t="s">
        <v>356</v>
      </c>
      <c r="N44" t="s">
        <v>356</v>
      </c>
      <c r="O44" t="s">
        <v>356</v>
      </c>
      <c r="P44" t="s">
        <v>356</v>
      </c>
      <c r="Q44" t="s">
        <v>356</v>
      </c>
      <c r="R44" t="s">
        <v>356</v>
      </c>
      <c r="S44" t="str" cm="1">
        <f t="array" ref="S44">IFERROR(LOOKUP(2,1/(E44:R44&lt;&gt;".."),E44:R44)/100,"")</f>
        <v/>
      </c>
      <c r="T44" t="str" cm="1">
        <f t="array" ref="T44">IFERROR(--LEFT(LOOKUP(2,1/(E44:R44&lt;&gt;".."),E$1:R$1),4),"")</f>
        <v/>
      </c>
    </row>
    <row r="45" spans="1:20" x14ac:dyDescent="0.35">
      <c r="A45" t="s">
        <v>182</v>
      </c>
      <c r="B45" s="1" t="s">
        <v>469</v>
      </c>
      <c r="C45" t="s">
        <v>88</v>
      </c>
      <c r="D45" s="1" t="s">
        <v>318</v>
      </c>
      <c r="E45" t="s">
        <v>356</v>
      </c>
      <c r="F45" t="s">
        <v>356</v>
      </c>
      <c r="G45" t="s">
        <v>356</v>
      </c>
      <c r="H45" t="s">
        <v>356</v>
      </c>
      <c r="I45" t="s">
        <v>356</v>
      </c>
      <c r="J45" t="s">
        <v>356</v>
      </c>
      <c r="K45" t="s">
        <v>356</v>
      </c>
      <c r="L45" t="s">
        <v>356</v>
      </c>
      <c r="M45" t="s">
        <v>356</v>
      </c>
      <c r="N45" t="s">
        <v>356</v>
      </c>
      <c r="O45" t="s">
        <v>356</v>
      </c>
      <c r="P45" t="s">
        <v>356</v>
      </c>
      <c r="Q45" t="s">
        <v>356</v>
      </c>
      <c r="R45" t="s">
        <v>356</v>
      </c>
      <c r="S45" t="str" cm="1">
        <f t="array" ref="S45">IFERROR(LOOKUP(2,1/(E45:R45&lt;&gt;".."),E45:R45)/100,"")</f>
        <v/>
      </c>
      <c r="T45" t="str" cm="1">
        <f t="array" ref="T45">IFERROR(--LEFT(LOOKUP(2,1/(E45:R45&lt;&gt;".."),E$1:R$1),4),"")</f>
        <v/>
      </c>
    </row>
    <row r="46" spans="1:20" x14ac:dyDescent="0.35">
      <c r="A46" t="s">
        <v>570</v>
      </c>
      <c r="B46" s="1" t="s">
        <v>250</v>
      </c>
      <c r="C46" t="s">
        <v>88</v>
      </c>
      <c r="D46" s="1" t="s">
        <v>318</v>
      </c>
      <c r="E46">
        <v>19.54034</v>
      </c>
      <c r="F46">
        <v>19.269349999999999</v>
      </c>
      <c r="G46">
        <v>19.973649999999999</v>
      </c>
      <c r="H46">
        <v>20.103259999999999</v>
      </c>
      <c r="I46">
        <v>19.904029999999999</v>
      </c>
      <c r="J46">
        <v>20.465340000000001</v>
      </c>
      <c r="K46">
        <v>20.946169999999999</v>
      </c>
      <c r="L46" t="s">
        <v>356</v>
      </c>
      <c r="M46" t="s">
        <v>356</v>
      </c>
      <c r="N46" t="s">
        <v>356</v>
      </c>
      <c r="O46" t="s">
        <v>356</v>
      </c>
      <c r="P46" t="s">
        <v>356</v>
      </c>
      <c r="Q46" t="s">
        <v>356</v>
      </c>
      <c r="R46" t="s">
        <v>356</v>
      </c>
      <c r="S46" cm="1">
        <f t="array" ref="S46">IFERROR(LOOKUP(2,1/(E46:R46&lt;&gt;".."),E46:R46)/100,"")</f>
        <v>0.20946169999999997</v>
      </c>
      <c r="T46" cm="1">
        <f t="array" ref="T46">IFERROR(--LEFT(LOOKUP(2,1/(E46:R46&lt;&gt;".."),E$1:R$1),4),"")</f>
        <v>2018</v>
      </c>
    </row>
    <row r="47" spans="1:20" x14ac:dyDescent="0.35">
      <c r="A47" t="s">
        <v>375</v>
      </c>
      <c r="B47" s="1" t="s">
        <v>190</v>
      </c>
      <c r="C47" t="s">
        <v>88</v>
      </c>
      <c r="D47" s="1" t="s">
        <v>318</v>
      </c>
      <c r="E47" t="s">
        <v>356</v>
      </c>
      <c r="F47" t="s">
        <v>356</v>
      </c>
      <c r="G47" t="s">
        <v>356</v>
      </c>
      <c r="H47" t="s">
        <v>356</v>
      </c>
      <c r="I47" t="s">
        <v>356</v>
      </c>
      <c r="J47" t="s">
        <v>356</v>
      </c>
      <c r="K47" t="s">
        <v>356</v>
      </c>
      <c r="L47" t="s">
        <v>356</v>
      </c>
      <c r="M47" t="s">
        <v>356</v>
      </c>
      <c r="N47" t="s">
        <v>356</v>
      </c>
      <c r="O47" t="s">
        <v>356</v>
      </c>
      <c r="P47" t="s">
        <v>356</v>
      </c>
      <c r="Q47" t="s">
        <v>356</v>
      </c>
      <c r="R47" t="s">
        <v>356</v>
      </c>
      <c r="S47" t="str" cm="1">
        <f t="array" ref="S47">IFERROR(LOOKUP(2,1/(E47:R47&lt;&gt;".."),E47:R47)/100,"")</f>
        <v/>
      </c>
      <c r="T47" t="str" cm="1">
        <f t="array" ref="T47">IFERROR(--LEFT(LOOKUP(2,1/(E47:R47&lt;&gt;".."),E$1:R$1),4),"")</f>
        <v/>
      </c>
    </row>
    <row r="48" spans="1:20" x14ac:dyDescent="0.35">
      <c r="A48" t="s">
        <v>455</v>
      </c>
      <c r="B48" s="1" t="s">
        <v>313</v>
      </c>
      <c r="C48" t="s">
        <v>88</v>
      </c>
      <c r="D48" s="1" t="s">
        <v>318</v>
      </c>
      <c r="E48">
        <v>22.127300000000002</v>
      </c>
      <c r="F48" t="s">
        <v>356</v>
      </c>
      <c r="G48">
        <v>23.28125</v>
      </c>
      <c r="H48">
        <v>22.70119</v>
      </c>
      <c r="I48">
        <v>23.639479999999999</v>
      </c>
      <c r="J48">
        <v>23.664750000000002</v>
      </c>
      <c r="K48">
        <v>23.126930000000002</v>
      </c>
      <c r="L48" t="s">
        <v>356</v>
      </c>
      <c r="M48" t="s">
        <v>356</v>
      </c>
      <c r="N48" t="s">
        <v>356</v>
      </c>
      <c r="O48" t="s">
        <v>356</v>
      </c>
      <c r="P48" t="s">
        <v>356</v>
      </c>
      <c r="Q48" t="s">
        <v>356</v>
      </c>
      <c r="R48" t="s">
        <v>356</v>
      </c>
      <c r="S48" cm="1">
        <f t="array" ref="S48">IFERROR(LOOKUP(2,1/(E48:R48&lt;&gt;".."),E48:R48)/100,"")</f>
        <v>0.23126930000000001</v>
      </c>
      <c r="T48" cm="1">
        <f t="array" ref="T48">IFERROR(--LEFT(LOOKUP(2,1/(E48:R48&lt;&gt;".."),E$1:R$1),4),"")</f>
        <v>2018</v>
      </c>
    </row>
    <row r="49" spans="1:20" x14ac:dyDescent="0.35">
      <c r="A49" t="s">
        <v>537</v>
      </c>
      <c r="B49" s="1" t="s">
        <v>159</v>
      </c>
      <c r="C49" t="s">
        <v>88</v>
      </c>
      <c r="D49" s="1" t="s">
        <v>318</v>
      </c>
      <c r="E49" t="s">
        <v>356</v>
      </c>
      <c r="F49" t="s">
        <v>356</v>
      </c>
      <c r="G49" t="s">
        <v>356</v>
      </c>
      <c r="H49" t="s">
        <v>356</v>
      </c>
      <c r="I49" t="s">
        <v>356</v>
      </c>
      <c r="J49" t="s">
        <v>356</v>
      </c>
      <c r="K49" t="s">
        <v>356</v>
      </c>
      <c r="L49" t="s">
        <v>356</v>
      </c>
      <c r="M49" t="s">
        <v>356</v>
      </c>
      <c r="N49" t="s">
        <v>356</v>
      </c>
      <c r="O49" t="s">
        <v>356</v>
      </c>
      <c r="P49" t="s">
        <v>356</v>
      </c>
      <c r="Q49" t="s">
        <v>356</v>
      </c>
      <c r="R49" t="s">
        <v>356</v>
      </c>
      <c r="S49" t="str" cm="1">
        <f t="array" ref="S49">IFERROR(LOOKUP(2,1/(E49:R49&lt;&gt;".."),E49:R49)/100,"")</f>
        <v/>
      </c>
      <c r="T49" t="str" cm="1">
        <f t="array" ref="T49">IFERROR(--LEFT(LOOKUP(2,1/(E49:R49&lt;&gt;".."),E$1:R$1),4),"")</f>
        <v/>
      </c>
    </row>
    <row r="50" spans="1:20" x14ac:dyDescent="0.35">
      <c r="A50" t="s">
        <v>227</v>
      </c>
      <c r="B50" s="1" t="s">
        <v>420</v>
      </c>
      <c r="C50" t="s">
        <v>88</v>
      </c>
      <c r="D50" s="1" t="s">
        <v>318</v>
      </c>
      <c r="E50" t="s">
        <v>356</v>
      </c>
      <c r="F50" t="s">
        <v>356</v>
      </c>
      <c r="G50" t="s">
        <v>356</v>
      </c>
      <c r="H50" t="s">
        <v>356</v>
      </c>
      <c r="I50">
        <v>15.462350000000001</v>
      </c>
      <c r="J50" t="s">
        <v>356</v>
      </c>
      <c r="K50" t="s">
        <v>356</v>
      </c>
      <c r="L50" t="s">
        <v>356</v>
      </c>
      <c r="M50" t="s">
        <v>356</v>
      </c>
      <c r="N50" t="s">
        <v>356</v>
      </c>
      <c r="O50" t="s">
        <v>356</v>
      </c>
      <c r="P50" t="s">
        <v>356</v>
      </c>
      <c r="Q50" t="s">
        <v>356</v>
      </c>
      <c r="R50" t="s">
        <v>356</v>
      </c>
      <c r="S50" cm="1">
        <f t="array" ref="S50">IFERROR(LOOKUP(2,1/(E50:R50&lt;&gt;".."),E50:R50)/100,"")</f>
        <v>0.1546235</v>
      </c>
      <c r="T50" cm="1">
        <f t="array" ref="T50">IFERROR(--LEFT(LOOKUP(2,1/(E50:R50&lt;&gt;".."),E$1:R$1),4),"")</f>
        <v>2016</v>
      </c>
    </row>
    <row r="51" spans="1:20" x14ac:dyDescent="0.35">
      <c r="A51" t="s">
        <v>162</v>
      </c>
      <c r="B51" s="1" t="s">
        <v>560</v>
      </c>
      <c r="C51" t="s">
        <v>88</v>
      </c>
      <c r="D51" s="1" t="s">
        <v>318</v>
      </c>
      <c r="E51" t="s">
        <v>356</v>
      </c>
      <c r="F51" t="s">
        <v>356</v>
      </c>
      <c r="G51" t="s">
        <v>356</v>
      </c>
      <c r="H51" t="s">
        <v>356</v>
      </c>
      <c r="I51" t="s">
        <v>356</v>
      </c>
      <c r="J51">
        <v>15.13064</v>
      </c>
      <c r="K51" t="s">
        <v>356</v>
      </c>
      <c r="L51" t="s">
        <v>356</v>
      </c>
      <c r="M51" t="s">
        <v>356</v>
      </c>
      <c r="N51" t="s">
        <v>356</v>
      </c>
      <c r="O51" t="s">
        <v>356</v>
      </c>
      <c r="P51" t="s">
        <v>356</v>
      </c>
      <c r="Q51" t="s">
        <v>356</v>
      </c>
      <c r="R51" t="s">
        <v>356</v>
      </c>
      <c r="S51" cm="1">
        <f t="array" ref="S51">IFERROR(LOOKUP(2,1/(E51:R51&lt;&gt;".."),E51:R51)/100,"")</f>
        <v>0.15130640000000001</v>
      </c>
      <c r="T51" cm="1">
        <f t="array" ref="T51">IFERROR(--LEFT(LOOKUP(2,1/(E51:R51&lt;&gt;".."),E$1:R$1),4),"")</f>
        <v>2017</v>
      </c>
    </row>
    <row r="52" spans="1:20" x14ac:dyDescent="0.35">
      <c r="A52" t="s">
        <v>144</v>
      </c>
      <c r="B52" s="1" t="s">
        <v>224</v>
      </c>
      <c r="C52" t="s">
        <v>88</v>
      </c>
      <c r="D52" s="1" t="s">
        <v>318</v>
      </c>
      <c r="E52" t="s">
        <v>356</v>
      </c>
      <c r="F52" t="s">
        <v>356</v>
      </c>
      <c r="G52" t="s">
        <v>356</v>
      </c>
      <c r="H52" t="s">
        <v>356</v>
      </c>
      <c r="I52" t="s">
        <v>356</v>
      </c>
      <c r="J52" t="s">
        <v>356</v>
      </c>
      <c r="K52" t="s">
        <v>356</v>
      </c>
      <c r="L52" t="s">
        <v>356</v>
      </c>
      <c r="M52" t="s">
        <v>356</v>
      </c>
      <c r="N52" t="s">
        <v>356</v>
      </c>
      <c r="O52" t="s">
        <v>356</v>
      </c>
      <c r="P52" t="s">
        <v>356</v>
      </c>
      <c r="Q52" t="s">
        <v>356</v>
      </c>
      <c r="R52" t="s">
        <v>356</v>
      </c>
      <c r="S52" t="str" cm="1">
        <f t="array" ref="S52">IFERROR(LOOKUP(2,1/(E52:R52&lt;&gt;".."),E52:R52)/100,"")</f>
        <v/>
      </c>
      <c r="T52" t="str" cm="1">
        <f t="array" ref="T52">IFERROR(--LEFT(LOOKUP(2,1/(E52:R52&lt;&gt;".."),E$1:R$1),4),"")</f>
        <v/>
      </c>
    </row>
    <row r="53" spans="1:20" x14ac:dyDescent="0.35">
      <c r="A53" t="s">
        <v>342</v>
      </c>
      <c r="B53" s="1" t="s">
        <v>66</v>
      </c>
      <c r="C53" t="s">
        <v>88</v>
      </c>
      <c r="D53" s="1" t="s">
        <v>318</v>
      </c>
      <c r="E53" t="s">
        <v>356</v>
      </c>
      <c r="F53" t="s">
        <v>356</v>
      </c>
      <c r="G53" t="s">
        <v>356</v>
      </c>
      <c r="H53">
        <v>12.87717</v>
      </c>
      <c r="I53">
        <v>13.090730000000001</v>
      </c>
      <c r="J53">
        <v>14.39941</v>
      </c>
      <c r="K53">
        <v>15.455870000000001</v>
      </c>
      <c r="L53">
        <v>15.113160000000001</v>
      </c>
      <c r="M53" t="s">
        <v>356</v>
      </c>
      <c r="N53" t="s">
        <v>356</v>
      </c>
      <c r="O53" t="s">
        <v>356</v>
      </c>
      <c r="P53" t="s">
        <v>356</v>
      </c>
      <c r="Q53" t="s">
        <v>356</v>
      </c>
      <c r="R53" t="s">
        <v>356</v>
      </c>
      <c r="S53" cm="1">
        <f t="array" ref="S53">IFERROR(LOOKUP(2,1/(E53:R53&lt;&gt;".."),E53:R53)/100,"")</f>
        <v>0.1511316</v>
      </c>
      <c r="T53" cm="1">
        <f t="array" ref="T53">IFERROR(--LEFT(LOOKUP(2,1/(E53:R53&lt;&gt;".."),E$1:R$1),4),"")</f>
        <v>2019</v>
      </c>
    </row>
    <row r="54" spans="1:20" x14ac:dyDescent="0.35">
      <c r="A54" t="s">
        <v>209</v>
      </c>
      <c r="B54" s="1" t="s">
        <v>211</v>
      </c>
      <c r="C54" t="s">
        <v>88</v>
      </c>
      <c r="D54" s="1" t="s">
        <v>318</v>
      </c>
      <c r="E54" t="s">
        <v>356</v>
      </c>
      <c r="F54" t="s">
        <v>356</v>
      </c>
      <c r="G54" t="s">
        <v>356</v>
      </c>
      <c r="H54" t="s">
        <v>356</v>
      </c>
      <c r="I54" t="s">
        <v>356</v>
      </c>
      <c r="J54" t="s">
        <v>356</v>
      </c>
      <c r="K54" t="s">
        <v>356</v>
      </c>
      <c r="L54" t="s">
        <v>356</v>
      </c>
      <c r="M54" t="s">
        <v>356</v>
      </c>
      <c r="N54" t="s">
        <v>356</v>
      </c>
      <c r="O54" t="s">
        <v>356</v>
      </c>
      <c r="P54" t="s">
        <v>356</v>
      </c>
      <c r="Q54" t="s">
        <v>356</v>
      </c>
      <c r="R54" t="s">
        <v>356</v>
      </c>
      <c r="S54" t="str" cm="1">
        <f t="array" ref="S54">IFERROR(LOOKUP(2,1/(E54:R54&lt;&gt;".."),E54:R54)/100,"")</f>
        <v/>
      </c>
      <c r="T54" t="str" cm="1">
        <f t="array" ref="T54">IFERROR(--LEFT(LOOKUP(2,1/(E54:R54&lt;&gt;".."),E$1:R$1),4),"")</f>
        <v/>
      </c>
    </row>
    <row r="55" spans="1:20" x14ac:dyDescent="0.35">
      <c r="A55" t="s">
        <v>563</v>
      </c>
      <c r="B55" s="1" t="s">
        <v>7</v>
      </c>
      <c r="C55" t="s">
        <v>88</v>
      </c>
      <c r="D55" s="1" t="s">
        <v>318</v>
      </c>
      <c r="E55">
        <v>24.201409999999999</v>
      </c>
      <c r="F55" t="s">
        <v>356</v>
      </c>
      <c r="G55">
        <v>23.70777</v>
      </c>
      <c r="H55">
        <v>23.862880000000001</v>
      </c>
      <c r="I55">
        <v>25.293880000000001</v>
      </c>
      <c r="J55">
        <v>27.014620000000001</v>
      </c>
      <c r="K55" t="s">
        <v>356</v>
      </c>
      <c r="L55" t="s">
        <v>356</v>
      </c>
      <c r="M55" t="s">
        <v>356</v>
      </c>
      <c r="N55" t="s">
        <v>356</v>
      </c>
      <c r="O55" t="s">
        <v>356</v>
      </c>
      <c r="P55" t="s">
        <v>356</v>
      </c>
      <c r="Q55" t="s">
        <v>356</v>
      </c>
      <c r="R55" t="s">
        <v>356</v>
      </c>
      <c r="S55" cm="1">
        <f t="array" ref="S55">IFERROR(LOOKUP(2,1/(E55:R55&lt;&gt;".."),E55:R55)/100,"")</f>
        <v>0.2701462</v>
      </c>
      <c r="T55" cm="1">
        <f t="array" ref="T55">IFERROR(--LEFT(LOOKUP(2,1/(E55:R55&lt;&gt;".."),E$1:R$1),4),"")</f>
        <v>2017</v>
      </c>
    </row>
    <row r="56" spans="1:20" x14ac:dyDescent="0.35">
      <c r="A56" t="s">
        <v>168</v>
      </c>
      <c r="B56" s="1" t="s">
        <v>406</v>
      </c>
      <c r="C56" t="s">
        <v>88</v>
      </c>
      <c r="D56" s="1" t="s">
        <v>318</v>
      </c>
      <c r="E56" t="s">
        <v>356</v>
      </c>
      <c r="F56" t="s">
        <v>356</v>
      </c>
      <c r="G56" t="s">
        <v>356</v>
      </c>
      <c r="H56" t="s">
        <v>356</v>
      </c>
      <c r="I56">
        <v>8.74986</v>
      </c>
      <c r="J56" t="s">
        <v>356</v>
      </c>
      <c r="K56" t="s">
        <v>356</v>
      </c>
      <c r="L56" t="s">
        <v>356</v>
      </c>
      <c r="M56" t="s">
        <v>356</v>
      </c>
      <c r="N56" t="s">
        <v>356</v>
      </c>
      <c r="O56" t="s">
        <v>356</v>
      </c>
      <c r="P56" t="s">
        <v>356</v>
      </c>
      <c r="Q56" t="s">
        <v>356</v>
      </c>
      <c r="R56" t="s">
        <v>356</v>
      </c>
      <c r="S56" cm="1">
        <f t="array" ref="S56">IFERROR(LOOKUP(2,1/(E56:R56&lt;&gt;".."),E56:R56)/100,"")</f>
        <v>8.7498599999999996E-2</v>
      </c>
      <c r="T56" cm="1">
        <f t="array" ref="T56">IFERROR(--LEFT(LOOKUP(2,1/(E56:R56&lt;&gt;".."),E$1:R$1),4),"")</f>
        <v>2016</v>
      </c>
    </row>
    <row r="57" spans="1:20" x14ac:dyDescent="0.35">
      <c r="A57" t="s">
        <v>450</v>
      </c>
      <c r="B57" s="1" t="s">
        <v>287</v>
      </c>
      <c r="C57" t="s">
        <v>88</v>
      </c>
      <c r="D57" s="1" t="s">
        <v>318</v>
      </c>
      <c r="E57" t="s">
        <v>356</v>
      </c>
      <c r="F57" t="s">
        <v>356</v>
      </c>
      <c r="G57" t="s">
        <v>356</v>
      </c>
      <c r="H57" t="s">
        <v>356</v>
      </c>
      <c r="I57" t="s">
        <v>356</v>
      </c>
      <c r="J57" t="s">
        <v>356</v>
      </c>
      <c r="K57" t="s">
        <v>356</v>
      </c>
      <c r="L57" t="s">
        <v>356</v>
      </c>
      <c r="M57" t="s">
        <v>356</v>
      </c>
      <c r="N57" t="s">
        <v>356</v>
      </c>
      <c r="O57" t="s">
        <v>356</v>
      </c>
      <c r="P57" t="s">
        <v>356</v>
      </c>
      <c r="Q57" t="s">
        <v>356</v>
      </c>
      <c r="R57" t="s">
        <v>356</v>
      </c>
      <c r="S57" t="str" cm="1">
        <f t="array" ref="S57">IFERROR(LOOKUP(2,1/(E57:R57&lt;&gt;".."),E57:R57)/100,"")</f>
        <v/>
      </c>
      <c r="T57" t="str" cm="1">
        <f t="array" ref="T57">IFERROR(--LEFT(LOOKUP(2,1/(E57:R57&lt;&gt;".."),E$1:R$1),4),"")</f>
        <v/>
      </c>
    </row>
    <row r="58" spans="1:20" x14ac:dyDescent="0.35">
      <c r="A58" t="s">
        <v>210</v>
      </c>
      <c r="B58" s="1" t="s">
        <v>524</v>
      </c>
      <c r="C58" t="s">
        <v>88</v>
      </c>
      <c r="D58" s="1" t="s">
        <v>318</v>
      </c>
      <c r="E58">
        <v>21.869430000000001</v>
      </c>
      <c r="F58">
        <v>19.011649999999999</v>
      </c>
      <c r="G58">
        <v>17.01662</v>
      </c>
      <c r="H58">
        <v>17.378160000000001</v>
      </c>
      <c r="I58">
        <v>15.890739999999999</v>
      </c>
      <c r="J58">
        <v>14.972060000000001</v>
      </c>
      <c r="K58">
        <v>15.1492</v>
      </c>
      <c r="L58" t="s">
        <v>356</v>
      </c>
      <c r="M58" t="s">
        <v>356</v>
      </c>
      <c r="N58" t="s">
        <v>356</v>
      </c>
      <c r="O58" t="s">
        <v>356</v>
      </c>
      <c r="P58" t="s">
        <v>356</v>
      </c>
      <c r="Q58" t="s">
        <v>356</v>
      </c>
      <c r="R58" t="s">
        <v>356</v>
      </c>
      <c r="S58" cm="1">
        <f t="array" ref="S58">IFERROR(LOOKUP(2,1/(E58:R58&lt;&gt;".."),E58:R58)/100,"")</f>
        <v>0.15149200000000002</v>
      </c>
      <c r="T58" cm="1">
        <f t="array" ref="T58">IFERROR(--LEFT(LOOKUP(2,1/(E58:R58&lt;&gt;".."),E$1:R$1),4),"")</f>
        <v>2018</v>
      </c>
    </row>
    <row r="59" spans="1:20" x14ac:dyDescent="0.35">
      <c r="A59" t="s">
        <v>289</v>
      </c>
      <c r="B59" s="1" t="s">
        <v>374</v>
      </c>
      <c r="C59" t="s">
        <v>88</v>
      </c>
      <c r="D59" s="1" t="s">
        <v>318</v>
      </c>
      <c r="E59">
        <v>22.452750000000002</v>
      </c>
      <c r="F59">
        <v>23.958290000000002</v>
      </c>
      <c r="G59">
        <v>22.458939999999998</v>
      </c>
      <c r="H59">
        <v>23.171859999999999</v>
      </c>
      <c r="I59">
        <v>23.45064</v>
      </c>
      <c r="J59">
        <v>23.86177</v>
      </c>
      <c r="K59">
        <v>26.118069999999999</v>
      </c>
      <c r="L59" t="s">
        <v>356</v>
      </c>
      <c r="M59" t="s">
        <v>356</v>
      </c>
      <c r="N59" t="s">
        <v>356</v>
      </c>
      <c r="O59" t="s">
        <v>356</v>
      </c>
      <c r="P59" t="s">
        <v>356</v>
      </c>
      <c r="Q59" t="s">
        <v>356</v>
      </c>
      <c r="R59" t="s">
        <v>356</v>
      </c>
      <c r="S59" cm="1">
        <f t="array" ref="S59">IFERROR(LOOKUP(2,1/(E59:R59&lt;&gt;".."),E59:R59)/100,"")</f>
        <v>0.26118069999999999</v>
      </c>
      <c r="T59" cm="1">
        <f t="array" ref="T59">IFERROR(--LEFT(LOOKUP(2,1/(E59:R59&lt;&gt;".."),E$1:R$1),4),"")</f>
        <v>2018</v>
      </c>
    </row>
    <row r="60" spans="1:20" x14ac:dyDescent="0.35">
      <c r="A60" t="s">
        <v>383</v>
      </c>
      <c r="B60" s="1" t="s">
        <v>297</v>
      </c>
      <c r="C60" t="s">
        <v>88</v>
      </c>
      <c r="D60" s="1" t="s">
        <v>318</v>
      </c>
      <c r="E60">
        <v>21.320329999999998</v>
      </c>
      <c r="F60">
        <v>20.449249999999999</v>
      </c>
      <c r="G60">
        <v>20.782679999999999</v>
      </c>
      <c r="H60">
        <v>19.62433</v>
      </c>
      <c r="I60">
        <v>20.46313</v>
      </c>
      <c r="J60">
        <v>20.976980000000001</v>
      </c>
      <c r="K60">
        <v>22.20288</v>
      </c>
      <c r="L60" t="s">
        <v>356</v>
      </c>
      <c r="M60" t="s">
        <v>356</v>
      </c>
      <c r="N60" t="s">
        <v>356</v>
      </c>
      <c r="O60" t="s">
        <v>356</v>
      </c>
      <c r="P60" t="s">
        <v>356</v>
      </c>
      <c r="Q60" t="s">
        <v>356</v>
      </c>
      <c r="R60" t="s">
        <v>356</v>
      </c>
      <c r="S60" cm="1">
        <f t="array" ref="S60">IFERROR(LOOKUP(2,1/(E60:R60&lt;&gt;".."),E60:R60)/100,"")</f>
        <v>0.2220288</v>
      </c>
      <c r="T60" cm="1">
        <f t="array" ref="T60">IFERROR(--LEFT(LOOKUP(2,1/(E60:R60&lt;&gt;".."),E$1:R$1),4),"")</f>
        <v>2018</v>
      </c>
    </row>
    <row r="61" spans="1:20" x14ac:dyDescent="0.35">
      <c r="A61" t="s">
        <v>225</v>
      </c>
      <c r="B61" s="1" t="s">
        <v>322</v>
      </c>
      <c r="C61" t="s">
        <v>88</v>
      </c>
      <c r="D61" s="1" t="s">
        <v>318</v>
      </c>
      <c r="E61" t="s">
        <v>356</v>
      </c>
      <c r="F61" t="s">
        <v>356</v>
      </c>
      <c r="G61" t="s">
        <v>356</v>
      </c>
      <c r="H61" t="s">
        <v>356</v>
      </c>
      <c r="I61" t="s">
        <v>356</v>
      </c>
      <c r="J61" t="s">
        <v>356</v>
      </c>
      <c r="K61" t="s">
        <v>356</v>
      </c>
      <c r="L61" t="s">
        <v>356</v>
      </c>
      <c r="M61" t="s">
        <v>356</v>
      </c>
      <c r="N61" t="s">
        <v>356</v>
      </c>
      <c r="O61" t="s">
        <v>356</v>
      </c>
      <c r="P61" t="s">
        <v>356</v>
      </c>
      <c r="Q61" t="s">
        <v>356</v>
      </c>
      <c r="R61" t="s">
        <v>356</v>
      </c>
      <c r="S61" t="str" cm="1">
        <f t="array" ref="S61">IFERROR(LOOKUP(2,1/(E61:R61&lt;&gt;".."),E61:R61)/100,"")</f>
        <v/>
      </c>
      <c r="T61" t="str" cm="1">
        <f t="array" ref="T61">IFERROR(--LEFT(LOOKUP(2,1/(E61:R61&lt;&gt;".."),E$1:R$1),4),"")</f>
        <v/>
      </c>
    </row>
    <row r="62" spans="1:20" x14ac:dyDescent="0.35">
      <c r="A62" t="s">
        <v>122</v>
      </c>
      <c r="B62" s="1" t="s">
        <v>555</v>
      </c>
      <c r="C62" t="s">
        <v>88</v>
      </c>
      <c r="D62" s="1" t="s">
        <v>318</v>
      </c>
      <c r="E62" t="s">
        <v>356</v>
      </c>
      <c r="F62" t="s">
        <v>356</v>
      </c>
      <c r="G62" t="s">
        <v>356</v>
      </c>
      <c r="H62" t="s">
        <v>356</v>
      </c>
      <c r="I62" t="s">
        <v>356</v>
      </c>
      <c r="J62" t="s">
        <v>356</v>
      </c>
      <c r="K62" t="s">
        <v>356</v>
      </c>
      <c r="L62" t="s">
        <v>356</v>
      </c>
      <c r="M62" t="s">
        <v>356</v>
      </c>
      <c r="N62" t="s">
        <v>356</v>
      </c>
      <c r="O62" t="s">
        <v>356</v>
      </c>
      <c r="P62" t="s">
        <v>356</v>
      </c>
      <c r="Q62" t="s">
        <v>356</v>
      </c>
      <c r="R62" t="s">
        <v>356</v>
      </c>
      <c r="S62" t="str" cm="1">
        <f t="array" ref="S62">IFERROR(LOOKUP(2,1/(E62:R62&lt;&gt;".."),E62:R62)/100,"")</f>
        <v/>
      </c>
      <c r="T62" t="str" cm="1">
        <f t="array" ref="T62">IFERROR(--LEFT(LOOKUP(2,1/(E62:R62&lt;&gt;".."),E$1:R$1),4),"")</f>
        <v/>
      </c>
    </row>
    <row r="63" spans="1:20" x14ac:dyDescent="0.35">
      <c r="A63" t="s">
        <v>233</v>
      </c>
      <c r="B63" s="1" t="s">
        <v>131</v>
      </c>
      <c r="C63" t="s">
        <v>88</v>
      </c>
      <c r="D63" s="1" t="s">
        <v>318</v>
      </c>
      <c r="E63" t="s">
        <v>356</v>
      </c>
      <c r="F63" t="s">
        <v>356</v>
      </c>
      <c r="G63" t="s">
        <v>356</v>
      </c>
      <c r="H63">
        <v>14.30134</v>
      </c>
      <c r="I63">
        <v>14.078340000000001</v>
      </c>
      <c r="J63">
        <v>11.551959999999999</v>
      </c>
      <c r="K63" t="s">
        <v>356</v>
      </c>
      <c r="L63" t="s">
        <v>356</v>
      </c>
      <c r="M63" t="s">
        <v>356</v>
      </c>
      <c r="N63" t="s">
        <v>356</v>
      </c>
      <c r="O63" t="s">
        <v>356</v>
      </c>
      <c r="P63" t="s">
        <v>356</v>
      </c>
      <c r="Q63" t="s">
        <v>356</v>
      </c>
      <c r="R63" t="s">
        <v>356</v>
      </c>
      <c r="S63" cm="1">
        <f t="array" ref="S63">IFERROR(LOOKUP(2,1/(E63:R63&lt;&gt;".."),E63:R63)/100,"")</f>
        <v>0.1155196</v>
      </c>
      <c r="T63" cm="1">
        <f t="array" ref="T63">IFERROR(--LEFT(LOOKUP(2,1/(E63:R63&lt;&gt;".."),E$1:R$1),4),"")</f>
        <v>2017</v>
      </c>
    </row>
    <row r="64" spans="1:20" x14ac:dyDescent="0.35">
      <c r="A64" t="s">
        <v>358</v>
      </c>
      <c r="B64" s="1" t="s">
        <v>550</v>
      </c>
      <c r="C64" t="s">
        <v>88</v>
      </c>
      <c r="D64" s="1" t="s">
        <v>318</v>
      </c>
      <c r="E64" t="s">
        <v>356</v>
      </c>
      <c r="F64" t="s">
        <v>356</v>
      </c>
      <c r="G64" t="s">
        <v>356</v>
      </c>
      <c r="H64" t="s">
        <v>356</v>
      </c>
      <c r="I64" t="s">
        <v>356</v>
      </c>
      <c r="J64" t="s">
        <v>356</v>
      </c>
      <c r="K64" t="s">
        <v>356</v>
      </c>
      <c r="L64" t="s">
        <v>356</v>
      </c>
      <c r="M64" t="s">
        <v>356</v>
      </c>
      <c r="N64" t="s">
        <v>356</v>
      </c>
      <c r="O64" t="s">
        <v>356</v>
      </c>
      <c r="P64" t="s">
        <v>356</v>
      </c>
      <c r="Q64" t="s">
        <v>356</v>
      </c>
      <c r="R64" t="s">
        <v>356</v>
      </c>
      <c r="S64" t="str" cm="1">
        <f t="array" ref="S64">IFERROR(LOOKUP(2,1/(E64:R64&lt;&gt;".."),E64:R64)/100,"")</f>
        <v/>
      </c>
      <c r="T64" t="str" cm="1">
        <f t="array" ref="T64">IFERROR(--LEFT(LOOKUP(2,1/(E64:R64&lt;&gt;".."),E$1:R$1),4),"")</f>
        <v/>
      </c>
    </row>
    <row r="65" spans="1:20" x14ac:dyDescent="0.35">
      <c r="A65" t="s">
        <v>300</v>
      </c>
      <c r="B65" s="1" t="s">
        <v>46</v>
      </c>
      <c r="C65" t="s">
        <v>88</v>
      </c>
      <c r="D65" s="1" t="s">
        <v>318</v>
      </c>
      <c r="E65" t="s">
        <v>356</v>
      </c>
      <c r="F65" t="s">
        <v>356</v>
      </c>
      <c r="G65" t="s">
        <v>356</v>
      </c>
      <c r="H65" t="s">
        <v>356</v>
      </c>
      <c r="I65" t="s">
        <v>356</v>
      </c>
      <c r="J65" t="s">
        <v>356</v>
      </c>
      <c r="K65" t="s">
        <v>356</v>
      </c>
      <c r="L65" t="s">
        <v>356</v>
      </c>
      <c r="M65" t="s">
        <v>356</v>
      </c>
      <c r="N65" t="s">
        <v>356</v>
      </c>
      <c r="O65" t="s">
        <v>356</v>
      </c>
      <c r="P65" t="s">
        <v>356</v>
      </c>
      <c r="Q65" t="s">
        <v>356</v>
      </c>
      <c r="R65" t="s">
        <v>356</v>
      </c>
      <c r="S65" t="str" cm="1">
        <f t="array" ref="S65">IFERROR(LOOKUP(2,1/(E65:R65&lt;&gt;".."),E65:R65)/100,"")</f>
        <v/>
      </c>
      <c r="T65" t="str" cm="1">
        <f t="array" ref="T65">IFERROR(--LEFT(LOOKUP(2,1/(E65:R65&lt;&gt;".."),E$1:R$1),4),"")</f>
        <v/>
      </c>
    </row>
    <row r="66" spans="1:20" x14ac:dyDescent="0.35">
      <c r="A66" t="s">
        <v>388</v>
      </c>
      <c r="B66" s="1" t="s">
        <v>247</v>
      </c>
      <c r="C66" t="s">
        <v>88</v>
      </c>
      <c r="D66" s="1" t="s">
        <v>318</v>
      </c>
      <c r="E66" t="s">
        <v>356</v>
      </c>
      <c r="F66" t="s">
        <v>356</v>
      </c>
      <c r="G66" t="s">
        <v>356</v>
      </c>
      <c r="H66" t="s">
        <v>356</v>
      </c>
      <c r="I66" t="s">
        <v>356</v>
      </c>
      <c r="J66" t="s">
        <v>356</v>
      </c>
      <c r="K66" t="s">
        <v>356</v>
      </c>
      <c r="L66" t="s">
        <v>356</v>
      </c>
      <c r="M66" t="s">
        <v>356</v>
      </c>
      <c r="N66" t="s">
        <v>356</v>
      </c>
      <c r="O66" t="s">
        <v>356</v>
      </c>
      <c r="P66" t="s">
        <v>356</v>
      </c>
      <c r="Q66" t="s">
        <v>356</v>
      </c>
      <c r="R66" t="s">
        <v>356</v>
      </c>
      <c r="S66" t="str" cm="1">
        <f t="array" ref="S66">IFERROR(LOOKUP(2,1/(E66:R66&lt;&gt;".."),E66:R66)/100,"")</f>
        <v/>
      </c>
      <c r="T66" t="str" cm="1">
        <f t="array" ref="T66">IFERROR(--LEFT(LOOKUP(2,1/(E66:R66&lt;&gt;".."),E$1:R$1),4),"")</f>
        <v/>
      </c>
    </row>
    <row r="67" spans="1:20" x14ac:dyDescent="0.35">
      <c r="A67" t="s">
        <v>275</v>
      </c>
      <c r="B67" s="1" t="s">
        <v>198</v>
      </c>
      <c r="C67" t="s">
        <v>88</v>
      </c>
      <c r="D67" s="1" t="s">
        <v>318</v>
      </c>
      <c r="E67" t="s">
        <v>356</v>
      </c>
      <c r="F67" t="s">
        <v>356</v>
      </c>
      <c r="G67" t="s">
        <v>356</v>
      </c>
      <c r="H67" t="s">
        <v>356</v>
      </c>
      <c r="I67" t="s">
        <v>356</v>
      </c>
      <c r="J67" t="s">
        <v>356</v>
      </c>
      <c r="K67" t="s">
        <v>356</v>
      </c>
      <c r="L67" t="s">
        <v>356</v>
      </c>
      <c r="M67" t="s">
        <v>356</v>
      </c>
      <c r="N67" t="s">
        <v>356</v>
      </c>
      <c r="O67" t="s">
        <v>356</v>
      </c>
      <c r="P67" t="s">
        <v>356</v>
      </c>
      <c r="Q67" t="s">
        <v>356</v>
      </c>
      <c r="R67" t="s">
        <v>356</v>
      </c>
      <c r="S67" t="str" cm="1">
        <f t="array" ref="S67">IFERROR(LOOKUP(2,1/(E67:R67&lt;&gt;".."),E67:R67)/100,"")</f>
        <v/>
      </c>
      <c r="T67" t="str" cm="1">
        <f t="array" ref="T67">IFERROR(--LEFT(LOOKUP(2,1/(E67:R67&lt;&gt;".."),E$1:R$1),4),"")</f>
        <v/>
      </c>
    </row>
    <row r="68" spans="1:20" x14ac:dyDescent="0.35">
      <c r="A68" t="s">
        <v>44</v>
      </c>
      <c r="B68" s="1" t="s">
        <v>5</v>
      </c>
      <c r="C68" t="s">
        <v>88</v>
      </c>
      <c r="D68" s="1" t="s">
        <v>318</v>
      </c>
      <c r="E68" t="s">
        <v>356</v>
      </c>
      <c r="F68" t="s">
        <v>356</v>
      </c>
      <c r="G68">
        <v>14.33887</v>
      </c>
      <c r="H68">
        <v>16.687809999999999</v>
      </c>
      <c r="I68">
        <v>15.83638</v>
      </c>
      <c r="J68" t="s">
        <v>356</v>
      </c>
      <c r="K68" t="s">
        <v>356</v>
      </c>
      <c r="L68" t="s">
        <v>356</v>
      </c>
      <c r="M68" t="s">
        <v>356</v>
      </c>
      <c r="N68" t="s">
        <v>356</v>
      </c>
      <c r="O68" t="s">
        <v>356</v>
      </c>
      <c r="P68" t="s">
        <v>356</v>
      </c>
      <c r="Q68" t="s">
        <v>356</v>
      </c>
      <c r="R68" t="s">
        <v>356</v>
      </c>
      <c r="S68" cm="1">
        <f t="array" ref="S68">IFERROR(LOOKUP(2,1/(E68:R68&lt;&gt;".."),E68:R68)/100,"")</f>
        <v>0.1583638</v>
      </c>
      <c r="T68" cm="1">
        <f t="array" ref="T68">IFERROR(--LEFT(LOOKUP(2,1/(E68:R68&lt;&gt;".."),E$1:R$1),4),"")</f>
        <v>2016</v>
      </c>
    </row>
    <row r="69" spans="1:20" x14ac:dyDescent="0.35">
      <c r="A69" t="s">
        <v>307</v>
      </c>
      <c r="B69" s="1" t="s">
        <v>522</v>
      </c>
      <c r="C69" t="s">
        <v>88</v>
      </c>
      <c r="D69" s="1" t="s">
        <v>318</v>
      </c>
      <c r="E69" t="s">
        <v>356</v>
      </c>
      <c r="F69" t="s">
        <v>356</v>
      </c>
      <c r="G69" t="s">
        <v>356</v>
      </c>
      <c r="H69" t="s">
        <v>356</v>
      </c>
      <c r="I69">
        <v>11.24119</v>
      </c>
      <c r="J69" t="s">
        <v>356</v>
      </c>
      <c r="K69" t="s">
        <v>356</v>
      </c>
      <c r="L69" t="s">
        <v>356</v>
      </c>
      <c r="M69" t="s">
        <v>356</v>
      </c>
      <c r="N69" t="s">
        <v>356</v>
      </c>
      <c r="O69" t="s">
        <v>356</v>
      </c>
      <c r="P69" t="s">
        <v>356</v>
      </c>
      <c r="Q69" t="s">
        <v>356</v>
      </c>
      <c r="R69" t="s">
        <v>356</v>
      </c>
      <c r="S69" cm="1">
        <f t="array" ref="S69">IFERROR(LOOKUP(2,1/(E69:R69&lt;&gt;".."),E69:R69)/100,"")</f>
        <v>0.1124119</v>
      </c>
      <c r="T69" cm="1">
        <f t="array" ref="T69">IFERROR(--LEFT(LOOKUP(2,1/(E69:R69&lt;&gt;".."),E$1:R$1),4),"")</f>
        <v>2016</v>
      </c>
    </row>
    <row r="70" spans="1:20" x14ac:dyDescent="0.35">
      <c r="A70" t="s">
        <v>339</v>
      </c>
      <c r="B70" s="1" t="s">
        <v>538</v>
      </c>
      <c r="C70" t="s">
        <v>88</v>
      </c>
      <c r="D70" s="1" t="s">
        <v>318</v>
      </c>
      <c r="E70">
        <v>21.665279999999999</v>
      </c>
      <c r="F70" t="s">
        <v>356</v>
      </c>
      <c r="G70" t="s">
        <v>356</v>
      </c>
      <c r="H70">
        <v>22.15795</v>
      </c>
      <c r="I70">
        <v>22.12998</v>
      </c>
      <c r="J70">
        <v>22.283619999999999</v>
      </c>
      <c r="K70">
        <v>21.433050000000001</v>
      </c>
      <c r="L70" t="s">
        <v>356</v>
      </c>
      <c r="M70" t="s">
        <v>356</v>
      </c>
      <c r="N70" t="s">
        <v>356</v>
      </c>
      <c r="O70" t="s">
        <v>356</v>
      </c>
      <c r="P70" t="s">
        <v>356</v>
      </c>
      <c r="Q70" t="s">
        <v>356</v>
      </c>
      <c r="R70" t="s">
        <v>356</v>
      </c>
      <c r="S70" cm="1">
        <f t="array" ref="S70">IFERROR(LOOKUP(2,1/(E70:R70&lt;&gt;".."),E70:R70)/100,"")</f>
        <v>0.21433050000000001</v>
      </c>
      <c r="T70" cm="1">
        <f t="array" ref="T70">IFERROR(--LEFT(LOOKUP(2,1/(E70:R70&lt;&gt;".."),E$1:R$1),4),"")</f>
        <v>2018</v>
      </c>
    </row>
    <row r="71" spans="1:20" x14ac:dyDescent="0.35">
      <c r="A71" t="s">
        <v>78</v>
      </c>
      <c r="B71" s="1" t="s">
        <v>27</v>
      </c>
      <c r="C71" t="s">
        <v>88</v>
      </c>
      <c r="D71" s="1" t="s">
        <v>318</v>
      </c>
      <c r="E71" t="s">
        <v>356</v>
      </c>
      <c r="F71" t="s">
        <v>356</v>
      </c>
      <c r="G71" t="s">
        <v>356</v>
      </c>
      <c r="H71" t="s">
        <v>356</v>
      </c>
      <c r="I71" t="s">
        <v>356</v>
      </c>
      <c r="J71" t="s">
        <v>356</v>
      </c>
      <c r="K71" t="s">
        <v>356</v>
      </c>
      <c r="L71" t="s">
        <v>356</v>
      </c>
      <c r="M71" t="s">
        <v>356</v>
      </c>
      <c r="N71" t="s">
        <v>356</v>
      </c>
      <c r="O71" t="s">
        <v>356</v>
      </c>
      <c r="P71" t="s">
        <v>356</v>
      </c>
      <c r="Q71" t="s">
        <v>356</v>
      </c>
      <c r="R71" t="s">
        <v>356</v>
      </c>
      <c r="S71" t="str" cm="1">
        <f t="array" ref="S71">IFERROR(LOOKUP(2,1/(E71:R71&lt;&gt;".."),E71:R71)/100,"")</f>
        <v/>
      </c>
      <c r="T71" t="str" cm="1">
        <f t="array" ref="T71">IFERROR(--LEFT(LOOKUP(2,1/(E71:R71&lt;&gt;".."),E$1:R$1),4),"")</f>
        <v/>
      </c>
    </row>
    <row r="72" spans="1:20" x14ac:dyDescent="0.35">
      <c r="A72" t="s">
        <v>262</v>
      </c>
      <c r="B72" s="1" t="s">
        <v>234</v>
      </c>
      <c r="C72" t="s">
        <v>88</v>
      </c>
      <c r="D72" s="1" t="s">
        <v>318</v>
      </c>
      <c r="E72" t="s">
        <v>356</v>
      </c>
      <c r="F72" t="s">
        <v>356</v>
      </c>
      <c r="G72" t="s">
        <v>356</v>
      </c>
      <c r="H72" t="s">
        <v>356</v>
      </c>
      <c r="I72">
        <v>29.048539999999999</v>
      </c>
      <c r="J72" t="s">
        <v>356</v>
      </c>
      <c r="K72" t="s">
        <v>356</v>
      </c>
      <c r="L72" t="s">
        <v>356</v>
      </c>
      <c r="M72" t="s">
        <v>356</v>
      </c>
      <c r="N72" t="s">
        <v>356</v>
      </c>
      <c r="O72" t="s">
        <v>356</v>
      </c>
      <c r="P72" t="s">
        <v>356</v>
      </c>
      <c r="Q72" t="s">
        <v>356</v>
      </c>
      <c r="R72" t="s">
        <v>356</v>
      </c>
      <c r="S72" cm="1">
        <f t="array" ref="S72">IFERROR(LOOKUP(2,1/(E72:R72&lt;&gt;".."),E72:R72)/100,"")</f>
        <v>0.2904854</v>
      </c>
      <c r="T72" cm="1">
        <f t="array" ref="T72">IFERROR(--LEFT(LOOKUP(2,1/(E72:R72&lt;&gt;".."),E$1:R$1),4),"")</f>
        <v>2016</v>
      </c>
    </row>
    <row r="73" spans="1:20" x14ac:dyDescent="0.35">
      <c r="A73" t="s">
        <v>175</v>
      </c>
      <c r="B73" s="1" t="s">
        <v>52</v>
      </c>
      <c r="C73" t="s">
        <v>88</v>
      </c>
      <c r="D73" s="1" t="s">
        <v>318</v>
      </c>
      <c r="E73">
        <v>24.831689999999998</v>
      </c>
      <c r="F73">
        <v>27.128</v>
      </c>
      <c r="G73">
        <v>26.408239999999999</v>
      </c>
      <c r="H73">
        <v>26.470310000000001</v>
      </c>
      <c r="I73">
        <v>27.460529999999999</v>
      </c>
      <c r="J73">
        <v>28.839929999999999</v>
      </c>
      <c r="K73">
        <v>27.73244</v>
      </c>
      <c r="L73" t="s">
        <v>356</v>
      </c>
      <c r="M73" t="s">
        <v>356</v>
      </c>
      <c r="N73" t="s">
        <v>356</v>
      </c>
      <c r="O73" t="s">
        <v>356</v>
      </c>
      <c r="P73" t="s">
        <v>356</v>
      </c>
      <c r="Q73" t="s">
        <v>356</v>
      </c>
      <c r="R73" t="s">
        <v>356</v>
      </c>
      <c r="S73" cm="1">
        <f t="array" ref="S73">IFERROR(LOOKUP(2,1/(E73:R73&lt;&gt;".."),E73:R73)/100,"")</f>
        <v>0.27732440000000003</v>
      </c>
      <c r="T73" cm="1">
        <f t="array" ref="T73">IFERROR(--LEFT(LOOKUP(2,1/(E73:R73&lt;&gt;".."),E$1:R$1),4),"")</f>
        <v>2018</v>
      </c>
    </row>
    <row r="74" spans="1:20" x14ac:dyDescent="0.35">
      <c r="A74" t="s">
        <v>347</v>
      </c>
      <c r="B74" s="1" t="s">
        <v>286</v>
      </c>
      <c r="C74" t="s">
        <v>88</v>
      </c>
      <c r="D74" s="1" t="s">
        <v>318</v>
      </c>
      <c r="E74" t="s">
        <v>356</v>
      </c>
      <c r="F74" t="s">
        <v>356</v>
      </c>
      <c r="G74" t="s">
        <v>356</v>
      </c>
      <c r="H74">
        <v>0</v>
      </c>
      <c r="I74" t="s">
        <v>356</v>
      </c>
      <c r="J74" t="s">
        <v>356</v>
      </c>
      <c r="K74" t="s">
        <v>356</v>
      </c>
      <c r="L74" t="s">
        <v>356</v>
      </c>
      <c r="M74" t="s">
        <v>356</v>
      </c>
      <c r="N74" t="s">
        <v>356</v>
      </c>
      <c r="O74" t="s">
        <v>356</v>
      </c>
      <c r="P74" t="s">
        <v>356</v>
      </c>
      <c r="Q74" t="s">
        <v>356</v>
      </c>
      <c r="R74" t="s">
        <v>356</v>
      </c>
      <c r="S74" cm="1">
        <f t="array" ref="S74">IFERROR(LOOKUP(2,1/(E74:R74&lt;&gt;".."),E74:R74)/100,"")</f>
        <v>0</v>
      </c>
      <c r="T74" cm="1">
        <f t="array" ref="T74">IFERROR(--LEFT(LOOKUP(2,1/(E74:R74&lt;&gt;".."),E$1:R$1),4),"")</f>
        <v>2015</v>
      </c>
    </row>
    <row r="75" spans="1:20" x14ac:dyDescent="0.35">
      <c r="A75" t="s">
        <v>48</v>
      </c>
      <c r="B75" s="1" t="s">
        <v>409</v>
      </c>
      <c r="C75" t="s">
        <v>88</v>
      </c>
      <c r="D75" s="1" t="s">
        <v>318</v>
      </c>
      <c r="E75" t="s">
        <v>356</v>
      </c>
      <c r="F75" t="s">
        <v>356</v>
      </c>
      <c r="G75" t="s">
        <v>356</v>
      </c>
      <c r="H75" t="s">
        <v>356</v>
      </c>
      <c r="I75" t="s">
        <v>356</v>
      </c>
      <c r="J75" t="s">
        <v>356</v>
      </c>
      <c r="K75" t="s">
        <v>356</v>
      </c>
      <c r="L75" t="s">
        <v>356</v>
      </c>
      <c r="M75" t="s">
        <v>356</v>
      </c>
      <c r="N75" t="s">
        <v>356</v>
      </c>
      <c r="O75" t="s">
        <v>356</v>
      </c>
      <c r="P75" t="s">
        <v>356</v>
      </c>
      <c r="Q75" t="s">
        <v>356</v>
      </c>
      <c r="R75" t="s">
        <v>356</v>
      </c>
      <c r="S75" t="str" cm="1">
        <f t="array" ref="S75">IFERROR(LOOKUP(2,1/(E75:R75&lt;&gt;".."),E75:R75)/100,"")</f>
        <v/>
      </c>
      <c r="T75" t="str" cm="1">
        <f t="array" ref="T75">IFERROR(--LEFT(LOOKUP(2,1/(E75:R75&lt;&gt;".."),E$1:R$1),4),"")</f>
        <v/>
      </c>
    </row>
    <row r="76" spans="1:20" x14ac:dyDescent="0.35">
      <c r="A76" t="s">
        <v>389</v>
      </c>
      <c r="B76" s="1" t="s">
        <v>561</v>
      </c>
      <c r="C76" t="s">
        <v>88</v>
      </c>
      <c r="D76" s="1" t="s">
        <v>318</v>
      </c>
      <c r="E76" t="s">
        <v>356</v>
      </c>
      <c r="F76" t="s">
        <v>356</v>
      </c>
      <c r="G76" t="s">
        <v>356</v>
      </c>
      <c r="H76" t="s">
        <v>356</v>
      </c>
      <c r="I76" t="s">
        <v>356</v>
      </c>
      <c r="J76" t="s">
        <v>356</v>
      </c>
      <c r="K76" t="s">
        <v>356</v>
      </c>
      <c r="L76" t="s">
        <v>356</v>
      </c>
      <c r="M76" t="s">
        <v>356</v>
      </c>
      <c r="N76" t="s">
        <v>356</v>
      </c>
      <c r="O76" t="s">
        <v>356</v>
      </c>
      <c r="P76" t="s">
        <v>356</v>
      </c>
      <c r="Q76" t="s">
        <v>356</v>
      </c>
      <c r="R76" t="s">
        <v>356</v>
      </c>
      <c r="S76" t="str" cm="1">
        <f t="array" ref="S76">IFERROR(LOOKUP(2,1/(E76:R76&lt;&gt;".."),E76:R76)/100,"")</f>
        <v/>
      </c>
      <c r="T76" t="str" cm="1">
        <f t="array" ref="T76">IFERROR(--LEFT(LOOKUP(2,1/(E76:R76&lt;&gt;".."),E$1:R$1),4),"")</f>
        <v/>
      </c>
    </row>
    <row r="77" spans="1:20" x14ac:dyDescent="0.35">
      <c r="A77" t="s">
        <v>141</v>
      </c>
      <c r="B77" s="1" t="s">
        <v>73</v>
      </c>
      <c r="C77" t="s">
        <v>88</v>
      </c>
      <c r="D77" s="1" t="s">
        <v>318</v>
      </c>
      <c r="E77" t="s">
        <v>356</v>
      </c>
      <c r="F77" t="s">
        <v>356</v>
      </c>
      <c r="G77" t="s">
        <v>356</v>
      </c>
      <c r="H77" t="s">
        <v>356</v>
      </c>
      <c r="I77" t="s">
        <v>356</v>
      </c>
      <c r="J77" t="s">
        <v>356</v>
      </c>
      <c r="K77" t="s">
        <v>356</v>
      </c>
      <c r="L77" t="s">
        <v>356</v>
      </c>
      <c r="M77" t="s">
        <v>356</v>
      </c>
      <c r="N77" t="s">
        <v>356</v>
      </c>
      <c r="O77" t="s">
        <v>356</v>
      </c>
      <c r="P77" t="s">
        <v>356</v>
      </c>
      <c r="Q77" t="s">
        <v>356</v>
      </c>
      <c r="R77" t="s">
        <v>356</v>
      </c>
      <c r="S77" t="str" cm="1">
        <f t="array" ref="S77">IFERROR(LOOKUP(2,1/(E77:R77&lt;&gt;".."),E77:R77)/100,"")</f>
        <v/>
      </c>
      <c r="T77" t="str" cm="1">
        <f t="array" ref="T77">IFERROR(--LEFT(LOOKUP(2,1/(E77:R77&lt;&gt;".."),E$1:R$1),4),"")</f>
        <v/>
      </c>
    </row>
    <row r="78" spans="1:20" x14ac:dyDescent="0.35">
      <c r="A78" t="s">
        <v>417</v>
      </c>
      <c r="B78" s="1" t="s">
        <v>557</v>
      </c>
      <c r="C78" t="s">
        <v>88</v>
      </c>
      <c r="D78" s="1" t="s">
        <v>318</v>
      </c>
      <c r="E78" t="s">
        <v>356</v>
      </c>
      <c r="F78" t="s">
        <v>356</v>
      </c>
      <c r="G78" t="s">
        <v>356</v>
      </c>
      <c r="H78" t="s">
        <v>356</v>
      </c>
      <c r="I78" t="s">
        <v>356</v>
      </c>
      <c r="J78" t="s">
        <v>356</v>
      </c>
      <c r="K78" t="s">
        <v>356</v>
      </c>
      <c r="L78" t="s">
        <v>356</v>
      </c>
      <c r="M78" t="s">
        <v>356</v>
      </c>
      <c r="N78" t="s">
        <v>356</v>
      </c>
      <c r="O78" t="s">
        <v>356</v>
      </c>
      <c r="P78" t="s">
        <v>356</v>
      </c>
      <c r="Q78" t="s">
        <v>356</v>
      </c>
      <c r="R78" t="s">
        <v>356</v>
      </c>
      <c r="S78" t="str" cm="1">
        <f t="array" ref="S78">IFERROR(LOOKUP(2,1/(E78:R78&lt;&gt;".."),E78:R78)/100,"")</f>
        <v/>
      </c>
      <c r="T78" t="str" cm="1">
        <f t="array" ref="T78">IFERROR(--LEFT(LOOKUP(2,1/(E78:R78&lt;&gt;".."),E$1:R$1),4),"")</f>
        <v/>
      </c>
    </row>
    <row r="79" spans="1:20" x14ac:dyDescent="0.35">
      <c r="A79" t="s">
        <v>173</v>
      </c>
      <c r="B79" s="1" t="s">
        <v>512</v>
      </c>
      <c r="C79" t="s">
        <v>88</v>
      </c>
      <c r="D79" s="1" t="s">
        <v>318</v>
      </c>
      <c r="E79" t="s">
        <v>356</v>
      </c>
      <c r="F79" t="s">
        <v>356</v>
      </c>
      <c r="G79" t="s">
        <v>356</v>
      </c>
      <c r="H79" t="s">
        <v>356</v>
      </c>
      <c r="I79" t="s">
        <v>356</v>
      </c>
      <c r="J79" t="s">
        <v>356</v>
      </c>
      <c r="K79" t="s">
        <v>356</v>
      </c>
      <c r="L79" t="s">
        <v>356</v>
      </c>
      <c r="M79" t="s">
        <v>356</v>
      </c>
      <c r="N79" t="s">
        <v>356</v>
      </c>
      <c r="O79" t="s">
        <v>356</v>
      </c>
      <c r="P79" t="s">
        <v>356</v>
      </c>
      <c r="Q79" t="s">
        <v>356</v>
      </c>
      <c r="R79" t="s">
        <v>356</v>
      </c>
      <c r="S79" t="str" cm="1">
        <f t="array" ref="S79">IFERROR(LOOKUP(2,1/(E79:R79&lt;&gt;".."),E79:R79)/100,"")</f>
        <v/>
      </c>
      <c r="T79" t="str" cm="1">
        <f t="array" ref="T79">IFERROR(--LEFT(LOOKUP(2,1/(E79:R79&lt;&gt;".."),E$1:R$1),4),"")</f>
        <v/>
      </c>
    </row>
    <row r="80" spans="1:20" x14ac:dyDescent="0.35">
      <c r="A80" t="s">
        <v>308</v>
      </c>
      <c r="B80" s="1" t="s">
        <v>523</v>
      </c>
      <c r="C80" t="s">
        <v>88</v>
      </c>
      <c r="D80" s="1" t="s">
        <v>318</v>
      </c>
      <c r="E80" t="s">
        <v>356</v>
      </c>
      <c r="F80" t="s">
        <v>356</v>
      </c>
      <c r="G80" t="s">
        <v>356</v>
      </c>
      <c r="H80" t="s">
        <v>356</v>
      </c>
      <c r="I80" t="s">
        <v>356</v>
      </c>
      <c r="J80" t="s">
        <v>356</v>
      </c>
      <c r="K80" t="s">
        <v>356</v>
      </c>
      <c r="L80" t="s">
        <v>356</v>
      </c>
      <c r="M80" t="s">
        <v>356</v>
      </c>
      <c r="N80" t="s">
        <v>356</v>
      </c>
      <c r="O80" t="s">
        <v>356</v>
      </c>
      <c r="P80" t="s">
        <v>356</v>
      </c>
      <c r="Q80" t="s">
        <v>356</v>
      </c>
      <c r="R80" t="s">
        <v>356</v>
      </c>
      <c r="S80" t="str" cm="1">
        <f t="array" ref="S80">IFERROR(LOOKUP(2,1/(E80:R80&lt;&gt;".."),E80:R80)/100,"")</f>
        <v/>
      </c>
      <c r="T80" t="str" cm="1">
        <f t="array" ref="T80">IFERROR(--LEFT(LOOKUP(2,1/(E80:R80&lt;&gt;".."),E$1:R$1),4),"")</f>
        <v/>
      </c>
    </row>
    <row r="81" spans="1:20" x14ac:dyDescent="0.35">
      <c r="A81" t="s">
        <v>505</v>
      </c>
      <c r="B81" s="1" t="s">
        <v>401</v>
      </c>
      <c r="C81" t="s">
        <v>88</v>
      </c>
      <c r="D81" s="1" t="s">
        <v>318</v>
      </c>
      <c r="E81" t="s">
        <v>356</v>
      </c>
      <c r="F81" t="s">
        <v>356</v>
      </c>
      <c r="G81" t="s">
        <v>356</v>
      </c>
      <c r="H81" t="s">
        <v>356</v>
      </c>
      <c r="I81" t="s">
        <v>356</v>
      </c>
      <c r="J81" t="s">
        <v>356</v>
      </c>
      <c r="K81" t="s">
        <v>356</v>
      </c>
      <c r="L81" t="s">
        <v>356</v>
      </c>
      <c r="M81" t="s">
        <v>356</v>
      </c>
      <c r="N81" t="s">
        <v>356</v>
      </c>
      <c r="O81" t="s">
        <v>356</v>
      </c>
      <c r="P81" t="s">
        <v>356</v>
      </c>
      <c r="Q81" t="s">
        <v>356</v>
      </c>
      <c r="R81" t="s">
        <v>356</v>
      </c>
      <c r="S81" t="str" cm="1">
        <f t="array" ref="S81">IFERROR(LOOKUP(2,1/(E81:R81&lt;&gt;".."),E81:R81)/100,"")</f>
        <v/>
      </c>
      <c r="T81" t="str" cm="1">
        <f t="array" ref="T81">IFERROR(--LEFT(LOOKUP(2,1/(E81:R81&lt;&gt;".."),E$1:R$1),4),"")</f>
        <v/>
      </c>
    </row>
    <row r="82" spans="1:20" x14ac:dyDescent="0.35">
      <c r="A82" t="s">
        <v>116</v>
      </c>
      <c r="B82" s="1" t="s">
        <v>482</v>
      </c>
      <c r="C82" t="s">
        <v>88</v>
      </c>
      <c r="D82" s="1" t="s">
        <v>318</v>
      </c>
      <c r="E82" t="s">
        <v>356</v>
      </c>
      <c r="F82" t="s">
        <v>356</v>
      </c>
      <c r="G82" t="s">
        <v>356</v>
      </c>
      <c r="H82" t="s">
        <v>356</v>
      </c>
      <c r="I82" t="s">
        <v>356</v>
      </c>
      <c r="J82" t="s">
        <v>356</v>
      </c>
      <c r="K82" t="s">
        <v>356</v>
      </c>
      <c r="L82" t="s">
        <v>356</v>
      </c>
      <c r="M82" t="s">
        <v>356</v>
      </c>
      <c r="N82" t="s">
        <v>356</v>
      </c>
      <c r="O82" t="s">
        <v>356</v>
      </c>
      <c r="P82" t="s">
        <v>356</v>
      </c>
      <c r="Q82" t="s">
        <v>356</v>
      </c>
      <c r="R82" t="s">
        <v>356</v>
      </c>
      <c r="S82" t="str" cm="1">
        <f t="array" ref="S82">IFERROR(LOOKUP(2,1/(E82:R82&lt;&gt;".."),E82:R82)/100,"")</f>
        <v/>
      </c>
      <c r="T82" t="str" cm="1">
        <f t="array" ref="T82">IFERROR(--LEFT(LOOKUP(2,1/(E82:R82&lt;&gt;".."),E$1:R$1),4),"")</f>
        <v/>
      </c>
    </row>
    <row r="83" spans="1:20" x14ac:dyDescent="0.35">
      <c r="A83" t="s">
        <v>155</v>
      </c>
      <c r="B83" s="1" t="s">
        <v>470</v>
      </c>
      <c r="C83" t="s">
        <v>88</v>
      </c>
      <c r="D83" s="1" t="s">
        <v>318</v>
      </c>
      <c r="E83">
        <v>27.931699999999999</v>
      </c>
      <c r="F83">
        <v>27.911999999999999</v>
      </c>
      <c r="G83">
        <v>27.757159999999999</v>
      </c>
      <c r="H83">
        <v>28.48546</v>
      </c>
      <c r="I83">
        <v>29.531269999999999</v>
      </c>
      <c r="J83">
        <v>27.25346</v>
      </c>
      <c r="K83">
        <v>28.120239999999999</v>
      </c>
      <c r="L83" t="s">
        <v>356</v>
      </c>
      <c r="M83" t="s">
        <v>356</v>
      </c>
      <c r="N83" t="s">
        <v>356</v>
      </c>
      <c r="O83" t="s">
        <v>356</v>
      </c>
      <c r="P83" t="s">
        <v>356</v>
      </c>
      <c r="Q83" t="s">
        <v>356</v>
      </c>
      <c r="R83" t="s">
        <v>356</v>
      </c>
      <c r="S83" cm="1">
        <f t="array" ref="S83">IFERROR(LOOKUP(2,1/(E83:R83&lt;&gt;".."),E83:R83)/100,"")</f>
        <v>0.28120239999999996</v>
      </c>
      <c r="T83" cm="1">
        <f t="array" ref="T83">IFERROR(--LEFT(LOOKUP(2,1/(E83:R83&lt;&gt;".."),E$1:R$1),4),"")</f>
        <v>2018</v>
      </c>
    </row>
    <row r="84" spans="1:20" x14ac:dyDescent="0.35">
      <c r="A84" t="s">
        <v>254</v>
      </c>
      <c r="B84" s="1" t="s">
        <v>264</v>
      </c>
      <c r="C84" t="s">
        <v>88</v>
      </c>
      <c r="D84" s="1" t="s">
        <v>318</v>
      </c>
      <c r="E84" t="s">
        <v>356</v>
      </c>
      <c r="F84" t="s">
        <v>356</v>
      </c>
      <c r="G84" t="s">
        <v>356</v>
      </c>
      <c r="H84" t="s">
        <v>356</v>
      </c>
      <c r="I84" t="s">
        <v>356</v>
      </c>
      <c r="J84" t="s">
        <v>356</v>
      </c>
      <c r="K84" t="s">
        <v>356</v>
      </c>
      <c r="L84" t="s">
        <v>356</v>
      </c>
      <c r="M84" t="s">
        <v>356</v>
      </c>
      <c r="N84" t="s">
        <v>356</v>
      </c>
      <c r="O84" t="s">
        <v>356</v>
      </c>
      <c r="P84" t="s">
        <v>356</v>
      </c>
      <c r="Q84" t="s">
        <v>356</v>
      </c>
      <c r="R84" t="s">
        <v>356</v>
      </c>
      <c r="S84" t="str" cm="1">
        <f t="array" ref="S84">IFERROR(LOOKUP(2,1/(E84:R84&lt;&gt;".."),E84:R84)/100,"")</f>
        <v/>
      </c>
      <c r="T84" t="str" cm="1">
        <f t="array" ref="T84">IFERROR(--LEFT(LOOKUP(2,1/(E84:R84&lt;&gt;".."),E$1:R$1),4),"")</f>
        <v/>
      </c>
    </row>
    <row r="85" spans="1:20" x14ac:dyDescent="0.35">
      <c r="A85" t="s">
        <v>430</v>
      </c>
      <c r="B85" s="1" t="s">
        <v>534</v>
      </c>
      <c r="C85" t="s">
        <v>88</v>
      </c>
      <c r="D85" s="1" t="s">
        <v>318</v>
      </c>
      <c r="E85">
        <v>26.102460000000001</v>
      </c>
      <c r="F85">
        <v>23.368569999999998</v>
      </c>
      <c r="G85">
        <v>23.731919999999999</v>
      </c>
      <c r="H85">
        <v>25.267130000000002</v>
      </c>
      <c r="I85">
        <v>25.561119999999999</v>
      </c>
      <c r="J85" t="s">
        <v>356</v>
      </c>
      <c r="K85">
        <v>25.39433</v>
      </c>
      <c r="L85" t="s">
        <v>356</v>
      </c>
      <c r="M85" t="s">
        <v>356</v>
      </c>
      <c r="N85" t="s">
        <v>356</v>
      </c>
      <c r="O85" t="s">
        <v>356</v>
      </c>
      <c r="P85" t="s">
        <v>356</v>
      </c>
      <c r="Q85" t="s">
        <v>356</v>
      </c>
      <c r="R85" t="s">
        <v>356</v>
      </c>
      <c r="S85" cm="1">
        <f t="array" ref="S85">IFERROR(LOOKUP(2,1/(E85:R85&lt;&gt;".."),E85:R85)/100,"")</f>
        <v>0.25394329999999998</v>
      </c>
      <c r="T85" cm="1">
        <f t="array" ref="T85">IFERROR(--LEFT(LOOKUP(2,1/(E85:R85&lt;&gt;".."),E$1:R$1),4),"")</f>
        <v>2018</v>
      </c>
    </row>
    <row r="86" spans="1:20" x14ac:dyDescent="0.35">
      <c r="A86" t="s">
        <v>183</v>
      </c>
      <c r="B86" s="1" t="s">
        <v>129</v>
      </c>
      <c r="C86" t="s">
        <v>88</v>
      </c>
      <c r="D86" s="1" t="s">
        <v>318</v>
      </c>
      <c r="E86" t="s">
        <v>356</v>
      </c>
      <c r="F86" t="s">
        <v>356</v>
      </c>
      <c r="G86" t="s">
        <v>356</v>
      </c>
      <c r="H86" t="s">
        <v>356</v>
      </c>
      <c r="I86" t="s">
        <v>356</v>
      </c>
      <c r="J86" t="s">
        <v>356</v>
      </c>
      <c r="K86" t="s">
        <v>356</v>
      </c>
      <c r="L86" t="s">
        <v>356</v>
      </c>
      <c r="M86" t="s">
        <v>356</v>
      </c>
      <c r="N86" t="s">
        <v>356</v>
      </c>
      <c r="O86" t="s">
        <v>356</v>
      </c>
      <c r="P86" t="s">
        <v>356</v>
      </c>
      <c r="Q86" t="s">
        <v>356</v>
      </c>
      <c r="R86" t="s">
        <v>356</v>
      </c>
      <c r="S86" t="str" cm="1">
        <f t="array" ref="S86">IFERROR(LOOKUP(2,1/(E86:R86&lt;&gt;".."),E86:R86)/100,"")</f>
        <v/>
      </c>
      <c r="T86" t="str" cm="1">
        <f t="array" ref="T86">IFERROR(--LEFT(LOOKUP(2,1/(E86:R86&lt;&gt;".."),E$1:R$1),4),"")</f>
        <v/>
      </c>
    </row>
    <row r="87" spans="1:20" x14ac:dyDescent="0.35">
      <c r="A87" t="s">
        <v>372</v>
      </c>
      <c r="B87" s="1" t="s">
        <v>355</v>
      </c>
      <c r="C87" t="s">
        <v>88</v>
      </c>
      <c r="D87" s="1" t="s">
        <v>318</v>
      </c>
      <c r="E87" t="s">
        <v>356</v>
      </c>
      <c r="F87" t="s">
        <v>356</v>
      </c>
      <c r="G87" t="s">
        <v>356</v>
      </c>
      <c r="H87" t="s">
        <v>356</v>
      </c>
      <c r="I87" t="s">
        <v>356</v>
      </c>
      <c r="J87" t="s">
        <v>356</v>
      </c>
      <c r="K87" t="s">
        <v>356</v>
      </c>
      <c r="L87" t="s">
        <v>356</v>
      </c>
      <c r="M87" t="s">
        <v>356</v>
      </c>
      <c r="N87" t="s">
        <v>356</v>
      </c>
      <c r="O87" t="s">
        <v>356</v>
      </c>
      <c r="P87" t="s">
        <v>356</v>
      </c>
      <c r="Q87" t="s">
        <v>356</v>
      </c>
      <c r="R87" t="s">
        <v>356</v>
      </c>
      <c r="S87" t="str" cm="1">
        <f t="array" ref="S87">IFERROR(LOOKUP(2,1/(E87:R87&lt;&gt;".."),E87:R87)/100,"")</f>
        <v/>
      </c>
      <c r="T87" t="str" cm="1">
        <f t="array" ref="T87">IFERROR(--LEFT(LOOKUP(2,1/(E87:R87&lt;&gt;".."),E$1:R$1),4),"")</f>
        <v/>
      </c>
    </row>
    <row r="88" spans="1:20" x14ac:dyDescent="0.35">
      <c r="A88" t="s">
        <v>299</v>
      </c>
      <c r="B88" s="1" t="s">
        <v>556</v>
      </c>
      <c r="C88" t="s">
        <v>88</v>
      </c>
      <c r="D88" s="1" t="s">
        <v>318</v>
      </c>
      <c r="E88" t="s">
        <v>356</v>
      </c>
      <c r="F88" t="s">
        <v>356</v>
      </c>
      <c r="G88" t="s">
        <v>356</v>
      </c>
      <c r="H88" t="s">
        <v>356</v>
      </c>
      <c r="I88" t="s">
        <v>356</v>
      </c>
      <c r="J88" t="s">
        <v>356</v>
      </c>
      <c r="K88" t="s">
        <v>356</v>
      </c>
      <c r="L88" t="s">
        <v>356</v>
      </c>
      <c r="M88" t="s">
        <v>356</v>
      </c>
      <c r="N88" t="s">
        <v>356</v>
      </c>
      <c r="O88" t="s">
        <v>356</v>
      </c>
      <c r="P88" t="s">
        <v>356</v>
      </c>
      <c r="Q88" t="s">
        <v>356</v>
      </c>
      <c r="R88" t="s">
        <v>356</v>
      </c>
      <c r="S88" t="str" cm="1">
        <f t="array" ref="S88">IFERROR(LOOKUP(2,1/(E88:R88&lt;&gt;".."),E88:R88)/100,"")</f>
        <v/>
      </c>
      <c r="T88" t="str" cm="1">
        <f t="array" ref="T88">IFERROR(--LEFT(LOOKUP(2,1/(E88:R88&lt;&gt;".."),E$1:R$1),4),"")</f>
        <v/>
      </c>
    </row>
    <row r="89" spans="1:20" x14ac:dyDescent="0.35">
      <c r="A89" t="s">
        <v>228</v>
      </c>
      <c r="B89" s="1" t="s">
        <v>241</v>
      </c>
      <c r="C89" t="s">
        <v>88</v>
      </c>
      <c r="D89" s="1" t="s">
        <v>318</v>
      </c>
      <c r="E89">
        <v>21.126999999999999</v>
      </c>
      <c r="F89" t="s">
        <v>356</v>
      </c>
      <c r="G89" t="s">
        <v>356</v>
      </c>
      <c r="H89" t="s">
        <v>356</v>
      </c>
      <c r="I89">
        <v>21.703140000000001</v>
      </c>
      <c r="J89">
        <v>21.876180000000002</v>
      </c>
      <c r="K89">
        <v>21.237580000000001</v>
      </c>
      <c r="L89">
        <v>24.55977</v>
      </c>
      <c r="M89" t="s">
        <v>356</v>
      </c>
      <c r="N89" t="s">
        <v>356</v>
      </c>
      <c r="O89" t="s">
        <v>356</v>
      </c>
      <c r="P89" t="s">
        <v>356</v>
      </c>
      <c r="Q89" t="s">
        <v>356</v>
      </c>
      <c r="R89" t="s">
        <v>356</v>
      </c>
      <c r="S89" cm="1">
        <f t="array" ref="S89">IFERROR(LOOKUP(2,1/(E89:R89&lt;&gt;".."),E89:R89)/100,"")</f>
        <v>0.2455977</v>
      </c>
      <c r="T89" cm="1">
        <f t="array" ref="T89">IFERROR(--LEFT(LOOKUP(2,1/(E89:R89&lt;&gt;".."),E$1:R$1),4),"")</f>
        <v>2019</v>
      </c>
    </row>
    <row r="90" spans="1:20" x14ac:dyDescent="0.35">
      <c r="A90" t="s">
        <v>9</v>
      </c>
      <c r="B90" s="1" t="s">
        <v>59</v>
      </c>
      <c r="C90" t="s">
        <v>88</v>
      </c>
      <c r="D90" s="1" t="s">
        <v>318</v>
      </c>
      <c r="E90" t="s">
        <v>356</v>
      </c>
      <c r="F90" t="s">
        <v>356</v>
      </c>
      <c r="G90" t="s">
        <v>356</v>
      </c>
      <c r="H90">
        <v>36.740259999999999</v>
      </c>
      <c r="I90">
        <v>36.040179999999999</v>
      </c>
      <c r="J90">
        <v>35.553469999999997</v>
      </c>
      <c r="K90">
        <v>35.308810000000001</v>
      </c>
      <c r="L90" t="s">
        <v>356</v>
      </c>
      <c r="M90" t="s">
        <v>356</v>
      </c>
      <c r="N90" t="s">
        <v>356</v>
      </c>
      <c r="O90" t="s">
        <v>356</v>
      </c>
      <c r="P90" t="s">
        <v>356</v>
      </c>
      <c r="Q90" t="s">
        <v>356</v>
      </c>
      <c r="R90" t="s">
        <v>356</v>
      </c>
      <c r="S90" cm="1">
        <f t="array" ref="S90">IFERROR(LOOKUP(2,1/(E90:R90&lt;&gt;".."),E90:R90)/100,"")</f>
        <v>0.35308810000000002</v>
      </c>
      <c r="T90" cm="1">
        <f t="array" ref="T90">IFERROR(--LEFT(LOOKUP(2,1/(E90:R90&lt;&gt;".."),E$1:R$1),4),"")</f>
        <v>2018</v>
      </c>
    </row>
    <row r="91" spans="1:20" x14ac:dyDescent="0.35">
      <c r="A91" t="s">
        <v>309</v>
      </c>
      <c r="B91" s="1" t="s">
        <v>321</v>
      </c>
      <c r="C91" t="s">
        <v>88</v>
      </c>
      <c r="D91" s="1" t="s">
        <v>318</v>
      </c>
      <c r="E91" t="s">
        <v>356</v>
      </c>
      <c r="F91" t="s">
        <v>356</v>
      </c>
      <c r="G91" t="s">
        <v>356</v>
      </c>
      <c r="H91">
        <v>14.235530000000001</v>
      </c>
      <c r="I91">
        <v>12.236370000000001</v>
      </c>
      <c r="J91">
        <v>13.38852</v>
      </c>
      <c r="K91">
        <v>16.367840000000001</v>
      </c>
      <c r="L91">
        <v>16.411719999999999</v>
      </c>
      <c r="M91" t="s">
        <v>356</v>
      </c>
      <c r="N91" t="s">
        <v>356</v>
      </c>
      <c r="O91" t="s">
        <v>356</v>
      </c>
      <c r="P91" t="s">
        <v>356</v>
      </c>
      <c r="Q91" t="s">
        <v>356</v>
      </c>
      <c r="R91" t="s">
        <v>356</v>
      </c>
      <c r="S91" cm="1">
        <f t="array" ref="S91">IFERROR(LOOKUP(2,1/(E91:R91&lt;&gt;".."),E91:R91)/100,"")</f>
        <v>0.16411719999999999</v>
      </c>
      <c r="T91" cm="1">
        <f t="array" ref="T91">IFERROR(--LEFT(LOOKUP(2,1/(E91:R91&lt;&gt;".."),E$1:R$1),4),"")</f>
        <v>2019</v>
      </c>
    </row>
    <row r="92" spans="1:20" x14ac:dyDescent="0.35">
      <c r="A92" t="s">
        <v>145</v>
      </c>
      <c r="B92" s="1" t="s">
        <v>292</v>
      </c>
      <c r="C92" t="s">
        <v>88</v>
      </c>
      <c r="D92" s="1" t="s">
        <v>318</v>
      </c>
      <c r="E92" t="s">
        <v>356</v>
      </c>
      <c r="F92" t="s">
        <v>356</v>
      </c>
      <c r="G92" t="s">
        <v>356</v>
      </c>
      <c r="H92" t="s">
        <v>356</v>
      </c>
      <c r="I92" t="s">
        <v>356</v>
      </c>
      <c r="J92" t="s">
        <v>356</v>
      </c>
      <c r="K92" t="s">
        <v>356</v>
      </c>
      <c r="L92" t="s">
        <v>356</v>
      </c>
      <c r="M92" t="s">
        <v>356</v>
      </c>
      <c r="N92" t="s">
        <v>356</v>
      </c>
      <c r="O92" t="s">
        <v>356</v>
      </c>
      <c r="P92" t="s">
        <v>356</v>
      </c>
      <c r="Q92" t="s">
        <v>356</v>
      </c>
      <c r="R92" t="s">
        <v>356</v>
      </c>
      <c r="S92" t="str" cm="1">
        <f t="array" ref="S92">IFERROR(LOOKUP(2,1/(E92:R92&lt;&gt;".."),E92:R92)/100,"")</f>
        <v/>
      </c>
      <c r="T92" t="str" cm="1">
        <f t="array" ref="T92">IFERROR(--LEFT(LOOKUP(2,1/(E92:R92&lt;&gt;".."),E$1:R$1),4),"")</f>
        <v/>
      </c>
    </row>
    <row r="93" spans="1:20" x14ac:dyDescent="0.35">
      <c r="A93" t="s">
        <v>476</v>
      </c>
      <c r="B93" s="1" t="s">
        <v>466</v>
      </c>
      <c r="C93" t="s">
        <v>88</v>
      </c>
      <c r="D93" s="1" t="s">
        <v>318</v>
      </c>
      <c r="E93" t="s">
        <v>356</v>
      </c>
      <c r="F93" t="s">
        <v>356</v>
      </c>
      <c r="G93" t="s">
        <v>356</v>
      </c>
      <c r="H93" t="s">
        <v>356</v>
      </c>
      <c r="I93" t="s">
        <v>356</v>
      </c>
      <c r="J93" t="s">
        <v>356</v>
      </c>
      <c r="K93" t="s">
        <v>356</v>
      </c>
      <c r="L93" t="s">
        <v>356</v>
      </c>
      <c r="M93" t="s">
        <v>356</v>
      </c>
      <c r="N93" t="s">
        <v>356</v>
      </c>
      <c r="O93" t="s">
        <v>356</v>
      </c>
      <c r="P93" t="s">
        <v>356</v>
      </c>
      <c r="Q93" t="s">
        <v>356</v>
      </c>
      <c r="R93" t="s">
        <v>356</v>
      </c>
      <c r="S93" t="str" cm="1">
        <f t="array" ref="S93">IFERROR(LOOKUP(2,1/(E93:R93&lt;&gt;".."),E93:R93)/100,"")</f>
        <v/>
      </c>
      <c r="T93" t="str" cm="1">
        <f t="array" ref="T93">IFERROR(--LEFT(LOOKUP(2,1/(E93:R93&lt;&gt;".."),E$1:R$1),4),"")</f>
        <v/>
      </c>
    </row>
    <row r="94" spans="1:20" x14ac:dyDescent="0.35">
      <c r="A94" t="s">
        <v>402</v>
      </c>
      <c r="B94" s="1" t="s">
        <v>458</v>
      </c>
      <c r="C94" t="s">
        <v>88</v>
      </c>
      <c r="D94" s="1" t="s">
        <v>318</v>
      </c>
      <c r="E94">
        <v>29.357939999999999</v>
      </c>
      <c r="F94">
        <v>31.138629999999999</v>
      </c>
      <c r="G94">
        <v>29.916799999999999</v>
      </c>
      <c r="H94" t="s">
        <v>356</v>
      </c>
      <c r="I94">
        <v>28.16142</v>
      </c>
      <c r="J94">
        <v>29.403770000000002</v>
      </c>
      <c r="K94">
        <v>28.266870000000001</v>
      </c>
      <c r="L94" t="s">
        <v>356</v>
      </c>
      <c r="M94" t="s">
        <v>356</v>
      </c>
      <c r="N94" t="s">
        <v>356</v>
      </c>
      <c r="O94" t="s">
        <v>356</v>
      </c>
      <c r="P94" t="s">
        <v>356</v>
      </c>
      <c r="Q94" t="s">
        <v>356</v>
      </c>
      <c r="R94" t="s">
        <v>356</v>
      </c>
      <c r="S94" cm="1">
        <f t="array" ref="S94">IFERROR(LOOKUP(2,1/(E94:R94&lt;&gt;".."),E94:R94)/100,"")</f>
        <v>0.28266869999999999</v>
      </c>
      <c r="T94" cm="1">
        <f t="array" ref="T94">IFERROR(--LEFT(LOOKUP(2,1/(E94:R94&lt;&gt;".."),E$1:R$1),4),"")</f>
        <v>2018</v>
      </c>
    </row>
    <row r="95" spans="1:20" x14ac:dyDescent="0.35">
      <c r="A95" t="s">
        <v>64</v>
      </c>
      <c r="B95" s="1" t="s">
        <v>196</v>
      </c>
      <c r="C95" t="s">
        <v>88</v>
      </c>
      <c r="D95" s="1" t="s">
        <v>318</v>
      </c>
      <c r="E95" t="s">
        <v>356</v>
      </c>
      <c r="F95" t="s">
        <v>356</v>
      </c>
      <c r="G95" t="s">
        <v>356</v>
      </c>
      <c r="H95" t="s">
        <v>356</v>
      </c>
      <c r="I95" t="s">
        <v>356</v>
      </c>
      <c r="J95" t="s">
        <v>356</v>
      </c>
      <c r="K95" t="s">
        <v>356</v>
      </c>
      <c r="L95" t="s">
        <v>356</v>
      </c>
      <c r="M95" t="s">
        <v>356</v>
      </c>
      <c r="N95" t="s">
        <v>356</v>
      </c>
      <c r="O95" t="s">
        <v>356</v>
      </c>
      <c r="P95" t="s">
        <v>356</v>
      </c>
      <c r="Q95" t="s">
        <v>356</v>
      </c>
      <c r="R95" t="s">
        <v>356</v>
      </c>
      <c r="S95" t="str" cm="1">
        <f t="array" ref="S95">IFERROR(LOOKUP(2,1/(E95:R95&lt;&gt;".."),E95:R95)/100,"")</f>
        <v/>
      </c>
      <c r="T95" t="str" cm="1">
        <f t="array" ref="T95">IFERROR(--LEFT(LOOKUP(2,1/(E95:R95&lt;&gt;".."),E$1:R$1),4),"")</f>
        <v/>
      </c>
    </row>
    <row r="96" spans="1:20" x14ac:dyDescent="0.35">
      <c r="A96" t="s">
        <v>213</v>
      </c>
      <c r="B96" s="1" t="s">
        <v>315</v>
      </c>
      <c r="C96" t="s">
        <v>88</v>
      </c>
      <c r="D96" s="1" t="s">
        <v>318</v>
      </c>
      <c r="E96" t="s">
        <v>356</v>
      </c>
      <c r="F96" t="s">
        <v>356</v>
      </c>
      <c r="G96" t="s">
        <v>356</v>
      </c>
      <c r="H96">
        <v>13.241580000000001</v>
      </c>
      <c r="I96" t="s">
        <v>356</v>
      </c>
      <c r="J96">
        <v>12.984249999999999</v>
      </c>
      <c r="K96">
        <v>15.67901</v>
      </c>
      <c r="L96" t="s">
        <v>356</v>
      </c>
      <c r="M96" t="s">
        <v>356</v>
      </c>
      <c r="N96" t="s">
        <v>356</v>
      </c>
      <c r="O96" t="s">
        <v>356</v>
      </c>
      <c r="P96" t="s">
        <v>356</v>
      </c>
      <c r="Q96" t="s">
        <v>356</v>
      </c>
      <c r="R96" t="s">
        <v>356</v>
      </c>
      <c r="S96" cm="1">
        <f t="array" ref="S96">IFERROR(LOOKUP(2,1/(E96:R96&lt;&gt;".."),E96:R96)/100,"")</f>
        <v>0.15679009999999999</v>
      </c>
      <c r="T96" cm="1">
        <f t="array" ref="T96">IFERROR(--LEFT(LOOKUP(2,1/(E96:R96&lt;&gt;".."),E$1:R$1),4),"")</f>
        <v>2018</v>
      </c>
    </row>
    <row r="97" spans="1:20" x14ac:dyDescent="0.35">
      <c r="A97" t="s">
        <v>503</v>
      </c>
      <c r="B97" s="1" t="s">
        <v>201</v>
      </c>
      <c r="C97" t="s">
        <v>88</v>
      </c>
      <c r="D97" s="1" t="s">
        <v>318</v>
      </c>
      <c r="E97" t="s">
        <v>356</v>
      </c>
      <c r="F97" t="s">
        <v>356</v>
      </c>
      <c r="G97" t="s">
        <v>356</v>
      </c>
      <c r="H97" t="s">
        <v>356</v>
      </c>
      <c r="I97" t="s">
        <v>356</v>
      </c>
      <c r="J97" t="s">
        <v>356</v>
      </c>
      <c r="K97" t="s">
        <v>356</v>
      </c>
      <c r="L97" t="s">
        <v>356</v>
      </c>
      <c r="M97" t="s">
        <v>356</v>
      </c>
      <c r="N97" t="s">
        <v>356</v>
      </c>
      <c r="O97" t="s">
        <v>356</v>
      </c>
      <c r="P97" t="s">
        <v>356</v>
      </c>
      <c r="Q97" t="s">
        <v>356</v>
      </c>
      <c r="R97" t="s">
        <v>356</v>
      </c>
      <c r="S97" t="str" cm="1">
        <f t="array" ref="S97">IFERROR(LOOKUP(2,1/(E97:R97&lt;&gt;".."),E97:R97)/100,"")</f>
        <v/>
      </c>
      <c r="T97" t="str" cm="1">
        <f t="array" ref="T97">IFERROR(--LEFT(LOOKUP(2,1/(E97:R97&lt;&gt;".."),E$1:R$1),4),"")</f>
        <v/>
      </c>
    </row>
    <row r="98" spans="1:20" x14ac:dyDescent="0.35">
      <c r="A98" t="s">
        <v>112</v>
      </c>
      <c r="B98" s="1" t="s">
        <v>314</v>
      </c>
      <c r="C98" t="s">
        <v>88</v>
      </c>
      <c r="D98" s="1" t="s">
        <v>318</v>
      </c>
      <c r="E98" t="s">
        <v>356</v>
      </c>
      <c r="F98" t="s">
        <v>356</v>
      </c>
      <c r="G98">
        <v>11.045019999999999</v>
      </c>
      <c r="H98">
        <v>9.7654399999999999</v>
      </c>
      <c r="I98" t="s">
        <v>356</v>
      </c>
      <c r="J98" t="s">
        <v>356</v>
      </c>
      <c r="K98" t="s">
        <v>356</v>
      </c>
      <c r="L98" t="s">
        <v>356</v>
      </c>
      <c r="M98" t="s">
        <v>356</v>
      </c>
      <c r="N98" t="s">
        <v>356</v>
      </c>
      <c r="O98" t="s">
        <v>356</v>
      </c>
      <c r="P98" t="s">
        <v>356</v>
      </c>
      <c r="Q98" t="s">
        <v>356</v>
      </c>
      <c r="R98" t="s">
        <v>356</v>
      </c>
      <c r="S98" cm="1">
        <f t="array" ref="S98">IFERROR(LOOKUP(2,1/(E98:R98&lt;&gt;".."),E98:R98)/100,"")</f>
        <v>9.7654400000000002E-2</v>
      </c>
      <c r="T98" cm="1">
        <f t="array" ref="T98">IFERROR(--LEFT(LOOKUP(2,1/(E98:R98&lt;&gt;".."),E$1:R$1),4),"")</f>
        <v>2015</v>
      </c>
    </row>
    <row r="99" spans="1:20" x14ac:dyDescent="0.35">
      <c r="A99" t="s">
        <v>276</v>
      </c>
      <c r="B99" s="1" t="s">
        <v>69</v>
      </c>
      <c r="C99" t="s">
        <v>88</v>
      </c>
      <c r="D99" s="1" t="s">
        <v>318</v>
      </c>
      <c r="E99" t="s">
        <v>356</v>
      </c>
      <c r="F99" t="s">
        <v>356</v>
      </c>
      <c r="G99" t="s">
        <v>356</v>
      </c>
      <c r="H99" t="s">
        <v>356</v>
      </c>
      <c r="I99" t="s">
        <v>356</v>
      </c>
      <c r="J99" t="s">
        <v>356</v>
      </c>
      <c r="K99" t="s">
        <v>356</v>
      </c>
      <c r="L99" t="s">
        <v>356</v>
      </c>
      <c r="M99" t="s">
        <v>356</v>
      </c>
      <c r="N99" t="s">
        <v>356</v>
      </c>
      <c r="O99" t="s">
        <v>356</v>
      </c>
      <c r="P99" t="s">
        <v>356</v>
      </c>
      <c r="Q99" t="s">
        <v>356</v>
      </c>
      <c r="R99" t="s">
        <v>356</v>
      </c>
      <c r="S99" t="str" cm="1">
        <f t="array" ref="S99">IFERROR(LOOKUP(2,1/(E99:R99&lt;&gt;".."),E99:R99)/100,"")</f>
        <v/>
      </c>
      <c r="T99" t="str" cm="1">
        <f t="array" ref="T99">IFERROR(--LEFT(LOOKUP(2,1/(E99:R99&lt;&gt;".."),E$1:R$1),4),"")</f>
        <v/>
      </c>
    </row>
    <row r="100" spans="1:20" x14ac:dyDescent="0.35">
      <c r="A100" t="s">
        <v>105</v>
      </c>
      <c r="B100" s="1" t="s">
        <v>98</v>
      </c>
      <c r="C100" t="s">
        <v>88</v>
      </c>
      <c r="D100" s="1" t="s">
        <v>318</v>
      </c>
      <c r="E100" t="s">
        <v>356</v>
      </c>
      <c r="F100" t="s">
        <v>356</v>
      </c>
      <c r="G100" t="s">
        <v>356</v>
      </c>
      <c r="H100" t="s">
        <v>356</v>
      </c>
      <c r="I100" t="s">
        <v>356</v>
      </c>
      <c r="J100" t="s">
        <v>356</v>
      </c>
      <c r="K100" t="s">
        <v>356</v>
      </c>
      <c r="L100" t="s">
        <v>356</v>
      </c>
      <c r="M100" t="s">
        <v>356</v>
      </c>
      <c r="N100" t="s">
        <v>356</v>
      </c>
      <c r="O100" t="s">
        <v>356</v>
      </c>
      <c r="P100" t="s">
        <v>356</v>
      </c>
      <c r="Q100" t="s">
        <v>356</v>
      </c>
      <c r="R100" t="s">
        <v>356</v>
      </c>
      <c r="S100" t="str" cm="1">
        <f t="array" ref="S100">IFERROR(LOOKUP(2,1/(E100:R100&lt;&gt;".."),E100:R100)/100,"")</f>
        <v/>
      </c>
      <c r="T100" t="str" cm="1">
        <f t="array" ref="T100">IFERROR(--LEFT(LOOKUP(2,1/(E100:R100&lt;&gt;".."),E$1:R$1),4),"")</f>
        <v/>
      </c>
    </row>
    <row r="101" spans="1:20" x14ac:dyDescent="0.35">
      <c r="A101" t="s">
        <v>176</v>
      </c>
      <c r="B101" s="1" t="s">
        <v>354</v>
      </c>
      <c r="C101" t="s">
        <v>88</v>
      </c>
      <c r="D101" s="1" t="s">
        <v>318</v>
      </c>
      <c r="E101">
        <v>14.20022</v>
      </c>
      <c r="F101" t="s">
        <v>356</v>
      </c>
      <c r="G101" t="s">
        <v>356</v>
      </c>
      <c r="H101" t="s">
        <v>356</v>
      </c>
      <c r="I101" t="s">
        <v>356</v>
      </c>
      <c r="J101" t="s">
        <v>356</v>
      </c>
      <c r="K101" t="s">
        <v>356</v>
      </c>
      <c r="L101" t="s">
        <v>356</v>
      </c>
      <c r="M101" t="s">
        <v>356</v>
      </c>
      <c r="N101" t="s">
        <v>356</v>
      </c>
      <c r="O101" t="s">
        <v>356</v>
      </c>
      <c r="P101" t="s">
        <v>356</v>
      </c>
      <c r="Q101" t="s">
        <v>356</v>
      </c>
      <c r="R101" t="s">
        <v>356</v>
      </c>
      <c r="S101" cm="1">
        <f t="array" ref="S101">IFERROR(LOOKUP(2,1/(E101:R101&lt;&gt;".."),E101:R101)/100,"")</f>
        <v>0.1420022</v>
      </c>
      <c r="T101" cm="1">
        <f t="array" ref="T101">IFERROR(--LEFT(LOOKUP(2,1/(E101:R101&lt;&gt;".."),E$1:R$1),4),"")</f>
        <v>2012</v>
      </c>
    </row>
    <row r="102" spans="1:20" x14ac:dyDescent="0.35">
      <c r="A102" t="s">
        <v>253</v>
      </c>
      <c r="B102" s="1" t="s">
        <v>33</v>
      </c>
      <c r="C102" t="s">
        <v>88</v>
      </c>
      <c r="D102" s="1" t="s">
        <v>318</v>
      </c>
      <c r="E102" t="s">
        <v>356</v>
      </c>
      <c r="F102" t="s">
        <v>356</v>
      </c>
      <c r="G102" t="s">
        <v>356</v>
      </c>
      <c r="H102" t="s">
        <v>356</v>
      </c>
      <c r="I102" t="s">
        <v>356</v>
      </c>
      <c r="J102" t="s">
        <v>356</v>
      </c>
      <c r="K102" t="s">
        <v>356</v>
      </c>
      <c r="L102" t="s">
        <v>356</v>
      </c>
      <c r="M102" t="s">
        <v>356</v>
      </c>
      <c r="N102" t="s">
        <v>356</v>
      </c>
      <c r="O102" t="s">
        <v>356</v>
      </c>
      <c r="P102" t="s">
        <v>356</v>
      </c>
      <c r="Q102" t="s">
        <v>356</v>
      </c>
      <c r="R102" t="s">
        <v>356</v>
      </c>
      <c r="S102" t="str" cm="1">
        <f t="array" ref="S102">IFERROR(LOOKUP(2,1/(E102:R102&lt;&gt;".."),E102:R102)/100,"")</f>
        <v/>
      </c>
      <c r="T102" t="str" cm="1">
        <f t="array" ref="T102">IFERROR(--LEFT(LOOKUP(2,1/(E102:R102&lt;&gt;".."),E$1:R$1),4),"")</f>
        <v/>
      </c>
    </row>
    <row r="103" spans="1:20" x14ac:dyDescent="0.35">
      <c r="A103" t="s">
        <v>186</v>
      </c>
      <c r="B103" s="1" t="s">
        <v>408</v>
      </c>
      <c r="C103" t="s">
        <v>88</v>
      </c>
      <c r="D103" s="1" t="s">
        <v>318</v>
      </c>
      <c r="E103" t="s">
        <v>356</v>
      </c>
      <c r="F103" t="s">
        <v>356</v>
      </c>
      <c r="G103" t="s">
        <v>356</v>
      </c>
      <c r="H103" t="s">
        <v>356</v>
      </c>
      <c r="I103" t="s">
        <v>356</v>
      </c>
      <c r="J103" t="s">
        <v>356</v>
      </c>
      <c r="K103" t="s">
        <v>356</v>
      </c>
      <c r="L103" t="s">
        <v>356</v>
      </c>
      <c r="M103" t="s">
        <v>356</v>
      </c>
      <c r="N103" t="s">
        <v>356</v>
      </c>
      <c r="O103" t="s">
        <v>356</v>
      </c>
      <c r="P103" t="s">
        <v>356</v>
      </c>
      <c r="Q103" t="s">
        <v>356</v>
      </c>
      <c r="R103" t="s">
        <v>356</v>
      </c>
      <c r="S103" t="str" cm="1">
        <f t="array" ref="S103">IFERROR(LOOKUP(2,1/(E103:R103&lt;&gt;".."),E103:R103)/100,"")</f>
        <v/>
      </c>
      <c r="T103" t="str" cm="1">
        <f t="array" ref="T103">IFERROR(--LEFT(LOOKUP(2,1/(E103:R103&lt;&gt;".."),E$1:R$1),4),"")</f>
        <v/>
      </c>
    </row>
    <row r="104" spans="1:20" x14ac:dyDescent="0.35">
      <c r="A104" t="s">
        <v>335</v>
      </c>
      <c r="B104" s="1" t="s">
        <v>360</v>
      </c>
      <c r="C104" t="s">
        <v>88</v>
      </c>
      <c r="D104" s="1" t="s">
        <v>318</v>
      </c>
      <c r="E104" t="s">
        <v>356</v>
      </c>
      <c r="F104" t="s">
        <v>356</v>
      </c>
      <c r="G104" t="s">
        <v>356</v>
      </c>
      <c r="H104" t="s">
        <v>356</v>
      </c>
      <c r="I104" t="s">
        <v>356</v>
      </c>
      <c r="J104" t="s">
        <v>356</v>
      </c>
      <c r="K104" t="s">
        <v>356</v>
      </c>
      <c r="L104" t="s">
        <v>356</v>
      </c>
      <c r="M104" t="s">
        <v>356</v>
      </c>
      <c r="N104" t="s">
        <v>356</v>
      </c>
      <c r="O104" t="s">
        <v>356</v>
      </c>
      <c r="P104" t="s">
        <v>356</v>
      </c>
      <c r="Q104" t="s">
        <v>356</v>
      </c>
      <c r="R104" t="s">
        <v>356</v>
      </c>
      <c r="S104" t="str" cm="1">
        <f t="array" ref="S104">IFERROR(LOOKUP(2,1/(E104:R104&lt;&gt;".."),E104:R104)/100,"")</f>
        <v/>
      </c>
      <c r="T104" t="str" cm="1">
        <f t="array" ref="T104">IFERROR(--LEFT(LOOKUP(2,1/(E104:R104&lt;&gt;".."),E$1:R$1),4),"")</f>
        <v/>
      </c>
    </row>
    <row r="105" spans="1:20" x14ac:dyDescent="0.35">
      <c r="A105" t="s">
        <v>341</v>
      </c>
      <c r="B105" s="1" t="s">
        <v>6</v>
      </c>
      <c r="C105" t="s">
        <v>88</v>
      </c>
      <c r="D105" s="1" t="s">
        <v>318</v>
      </c>
      <c r="E105">
        <v>14.225479999999999</v>
      </c>
      <c r="F105" t="s">
        <v>356</v>
      </c>
      <c r="G105" t="s">
        <v>356</v>
      </c>
      <c r="H105">
        <v>14.71533</v>
      </c>
      <c r="I105">
        <v>15.458550000000001</v>
      </c>
      <c r="J105">
        <v>15.023809999999999</v>
      </c>
      <c r="K105">
        <v>15.202260000000001</v>
      </c>
      <c r="L105" t="s">
        <v>356</v>
      </c>
      <c r="M105" t="s">
        <v>356</v>
      </c>
      <c r="N105" t="s">
        <v>356</v>
      </c>
      <c r="O105" t="s">
        <v>356</v>
      </c>
      <c r="P105" t="s">
        <v>356</v>
      </c>
      <c r="Q105" t="s">
        <v>356</v>
      </c>
      <c r="R105" t="s">
        <v>356</v>
      </c>
      <c r="S105" cm="1">
        <f t="array" ref="S105">IFERROR(LOOKUP(2,1/(E105:R105&lt;&gt;".."),E105:R105)/100,"")</f>
        <v>0.15202260000000001</v>
      </c>
      <c r="T105" cm="1">
        <f t="array" ref="T105">IFERROR(--LEFT(LOOKUP(2,1/(E105:R105&lt;&gt;".."),E$1:R$1),4),"")</f>
        <v>2018</v>
      </c>
    </row>
    <row r="106" spans="1:20" x14ac:dyDescent="0.35">
      <c r="A106" t="s">
        <v>397</v>
      </c>
      <c r="B106" s="1" t="s">
        <v>246</v>
      </c>
      <c r="C106" t="s">
        <v>88</v>
      </c>
      <c r="D106" s="1" t="s">
        <v>318</v>
      </c>
      <c r="E106" t="s">
        <v>356</v>
      </c>
      <c r="F106" t="s">
        <v>356</v>
      </c>
      <c r="G106" t="s">
        <v>356</v>
      </c>
      <c r="H106" t="s">
        <v>356</v>
      </c>
      <c r="I106" t="s">
        <v>356</v>
      </c>
      <c r="J106" t="s">
        <v>356</v>
      </c>
      <c r="K106" t="s">
        <v>356</v>
      </c>
      <c r="L106" t="s">
        <v>356</v>
      </c>
      <c r="M106" t="s">
        <v>356</v>
      </c>
      <c r="N106" t="s">
        <v>356</v>
      </c>
      <c r="O106" t="s">
        <v>356</v>
      </c>
      <c r="P106" t="s">
        <v>356</v>
      </c>
      <c r="Q106" t="s">
        <v>356</v>
      </c>
      <c r="R106" t="s">
        <v>356</v>
      </c>
      <c r="S106" t="str" cm="1">
        <f t="array" ref="S106">IFERROR(LOOKUP(2,1/(E106:R106&lt;&gt;".."),E106:R106)/100,"")</f>
        <v/>
      </c>
      <c r="T106" t="str" cm="1">
        <f t="array" ref="T106">IFERROR(--LEFT(LOOKUP(2,1/(E106:R106&lt;&gt;".."),E$1:R$1),4),"")</f>
        <v/>
      </c>
    </row>
    <row r="107" spans="1:20" x14ac:dyDescent="0.35">
      <c r="A107" t="s">
        <v>527</v>
      </c>
      <c r="B107" s="1" t="s">
        <v>256</v>
      </c>
      <c r="C107" t="s">
        <v>88</v>
      </c>
      <c r="D107" s="1" t="s">
        <v>318</v>
      </c>
      <c r="E107">
        <v>18.631039999999999</v>
      </c>
      <c r="F107">
        <v>18.877330000000001</v>
      </c>
      <c r="G107">
        <v>20.782450000000001</v>
      </c>
      <c r="H107">
        <v>22.067609999999998</v>
      </c>
      <c r="I107">
        <v>22.811630000000001</v>
      </c>
      <c r="J107">
        <v>23.262930000000001</v>
      </c>
      <c r="K107">
        <v>22.517250000000001</v>
      </c>
      <c r="L107" t="s">
        <v>356</v>
      </c>
      <c r="M107" t="s">
        <v>356</v>
      </c>
      <c r="N107" t="s">
        <v>356</v>
      </c>
      <c r="O107" t="s">
        <v>356</v>
      </c>
      <c r="P107" t="s">
        <v>356</v>
      </c>
      <c r="Q107" t="s">
        <v>356</v>
      </c>
      <c r="R107" t="s">
        <v>356</v>
      </c>
      <c r="S107" cm="1">
        <f t="array" ref="S107">IFERROR(LOOKUP(2,1/(E107:R107&lt;&gt;".."),E107:R107)/100,"")</f>
        <v>0.2251725</v>
      </c>
      <c r="T107" cm="1">
        <f t="array" ref="T107">IFERROR(--LEFT(LOOKUP(2,1/(E107:R107&lt;&gt;".."),E$1:R$1),4),"")</f>
        <v>2018</v>
      </c>
    </row>
    <row r="108" spans="1:20" x14ac:dyDescent="0.35">
      <c r="A108" t="s">
        <v>452</v>
      </c>
      <c r="B108" s="1" t="s">
        <v>566</v>
      </c>
      <c r="C108" t="s">
        <v>88</v>
      </c>
      <c r="D108" s="1" t="s">
        <v>318</v>
      </c>
      <c r="E108" t="s">
        <v>356</v>
      </c>
      <c r="F108" t="s">
        <v>356</v>
      </c>
      <c r="G108" t="s">
        <v>356</v>
      </c>
      <c r="H108" t="s">
        <v>356</v>
      </c>
      <c r="I108" t="s">
        <v>356</v>
      </c>
      <c r="J108" t="s">
        <v>356</v>
      </c>
      <c r="K108" t="s">
        <v>356</v>
      </c>
      <c r="L108" t="s">
        <v>356</v>
      </c>
      <c r="M108" t="s">
        <v>356</v>
      </c>
      <c r="N108" t="s">
        <v>356</v>
      </c>
      <c r="O108" t="s">
        <v>356</v>
      </c>
      <c r="P108" t="s">
        <v>356</v>
      </c>
      <c r="Q108" t="s">
        <v>356</v>
      </c>
      <c r="R108" t="s">
        <v>356</v>
      </c>
      <c r="S108" t="str" cm="1">
        <f t="array" ref="S108">IFERROR(LOOKUP(2,1/(E108:R108&lt;&gt;".."),E108:R108)/100,"")</f>
        <v/>
      </c>
      <c r="T108" t="str" cm="1">
        <f t="array" ref="T108">IFERROR(--LEFT(LOOKUP(2,1/(E108:R108&lt;&gt;".."),E$1:R$1),4),"")</f>
        <v/>
      </c>
    </row>
    <row r="109" spans="1:20" x14ac:dyDescent="0.35">
      <c r="A109" t="s">
        <v>82</v>
      </c>
      <c r="B109" s="1" t="s">
        <v>493</v>
      </c>
      <c r="C109" t="s">
        <v>88</v>
      </c>
      <c r="D109" s="1" t="s">
        <v>318</v>
      </c>
      <c r="E109" t="s">
        <v>356</v>
      </c>
      <c r="F109" t="s">
        <v>356</v>
      </c>
      <c r="G109" t="s">
        <v>356</v>
      </c>
      <c r="H109" t="s">
        <v>356</v>
      </c>
      <c r="I109" t="s">
        <v>356</v>
      </c>
      <c r="J109" t="s">
        <v>356</v>
      </c>
      <c r="K109">
        <v>18.591930000000001</v>
      </c>
      <c r="L109" t="s">
        <v>356</v>
      </c>
      <c r="M109" t="s">
        <v>356</v>
      </c>
      <c r="N109" t="s">
        <v>356</v>
      </c>
      <c r="O109" t="s">
        <v>356</v>
      </c>
      <c r="P109" t="s">
        <v>356</v>
      </c>
      <c r="Q109" t="s">
        <v>356</v>
      </c>
      <c r="R109" t="s">
        <v>356</v>
      </c>
      <c r="S109" cm="1">
        <f t="array" ref="S109">IFERROR(LOOKUP(2,1/(E109:R109&lt;&gt;".."),E109:R109)/100,"")</f>
        <v>0.18591930000000001</v>
      </c>
      <c r="T109" cm="1">
        <f t="array" ref="T109">IFERROR(--LEFT(LOOKUP(2,1/(E109:R109&lt;&gt;".."),E$1:R$1),4),"")</f>
        <v>2018</v>
      </c>
    </row>
    <row r="110" spans="1:20" x14ac:dyDescent="0.35">
      <c r="A110" t="s">
        <v>310</v>
      </c>
      <c r="B110" s="1" t="s">
        <v>378</v>
      </c>
      <c r="C110" t="s">
        <v>88</v>
      </c>
      <c r="D110" s="1" t="s">
        <v>318</v>
      </c>
      <c r="E110" t="s">
        <v>356</v>
      </c>
      <c r="F110" t="s">
        <v>356</v>
      </c>
      <c r="G110" t="s">
        <v>356</v>
      </c>
      <c r="H110" t="s">
        <v>356</v>
      </c>
      <c r="I110" t="s">
        <v>356</v>
      </c>
      <c r="J110" t="s">
        <v>356</v>
      </c>
      <c r="K110" t="s">
        <v>356</v>
      </c>
      <c r="L110" t="s">
        <v>356</v>
      </c>
      <c r="M110" t="s">
        <v>356</v>
      </c>
      <c r="N110" t="s">
        <v>356</v>
      </c>
      <c r="O110" t="s">
        <v>356</v>
      </c>
      <c r="P110" t="s">
        <v>356</v>
      </c>
      <c r="Q110" t="s">
        <v>356</v>
      </c>
      <c r="R110" t="s">
        <v>356</v>
      </c>
      <c r="S110" t="str" cm="1">
        <f t="array" ref="S110">IFERROR(LOOKUP(2,1/(E110:R110&lt;&gt;".."),E110:R110)/100,"")</f>
        <v/>
      </c>
      <c r="T110" t="str" cm="1">
        <f t="array" ref="T110">IFERROR(--LEFT(LOOKUP(2,1/(E110:R110&lt;&gt;".."),E$1:R$1),4),"")</f>
        <v/>
      </c>
    </row>
    <row r="111" spans="1:20" x14ac:dyDescent="0.35">
      <c r="A111" t="s">
        <v>26</v>
      </c>
      <c r="B111" s="1" t="s">
        <v>294</v>
      </c>
      <c r="C111" t="s">
        <v>88</v>
      </c>
      <c r="D111" s="1" t="s">
        <v>318</v>
      </c>
      <c r="E111" t="s">
        <v>356</v>
      </c>
      <c r="F111" t="s">
        <v>356</v>
      </c>
      <c r="G111" t="s">
        <v>356</v>
      </c>
      <c r="H111" t="s">
        <v>356</v>
      </c>
      <c r="I111" t="s">
        <v>356</v>
      </c>
      <c r="J111" t="s">
        <v>356</v>
      </c>
      <c r="K111" t="s">
        <v>356</v>
      </c>
      <c r="L111" t="s">
        <v>356</v>
      </c>
      <c r="M111" t="s">
        <v>356</v>
      </c>
      <c r="N111" t="s">
        <v>356</v>
      </c>
      <c r="O111" t="s">
        <v>356</v>
      </c>
      <c r="P111" t="s">
        <v>356</v>
      </c>
      <c r="Q111" t="s">
        <v>356</v>
      </c>
      <c r="R111" t="s">
        <v>356</v>
      </c>
      <c r="S111" t="str" cm="1">
        <f t="array" ref="S111">IFERROR(LOOKUP(2,1/(E111:R111&lt;&gt;".."),E111:R111)/100,"")</f>
        <v/>
      </c>
      <c r="T111" t="str" cm="1">
        <f t="array" ref="T111">IFERROR(--LEFT(LOOKUP(2,1/(E111:R111&lt;&gt;".."),E$1:R$1),4),"")</f>
        <v/>
      </c>
    </row>
    <row r="112" spans="1:20" x14ac:dyDescent="0.35">
      <c r="A112" t="s">
        <v>236</v>
      </c>
      <c r="B112" s="1" t="s">
        <v>42</v>
      </c>
      <c r="C112" t="s">
        <v>88</v>
      </c>
      <c r="D112" s="1" t="s">
        <v>318</v>
      </c>
      <c r="E112" t="s">
        <v>356</v>
      </c>
      <c r="F112" t="s">
        <v>356</v>
      </c>
      <c r="G112" t="s">
        <v>356</v>
      </c>
      <c r="H112" t="s">
        <v>356</v>
      </c>
      <c r="I112" t="s">
        <v>356</v>
      </c>
      <c r="J112" t="s">
        <v>356</v>
      </c>
      <c r="K112" t="s">
        <v>356</v>
      </c>
      <c r="L112" t="s">
        <v>356</v>
      </c>
      <c r="M112" t="s">
        <v>356</v>
      </c>
      <c r="N112" t="s">
        <v>356</v>
      </c>
      <c r="O112" t="s">
        <v>356</v>
      </c>
      <c r="P112" t="s">
        <v>356</v>
      </c>
      <c r="Q112" t="s">
        <v>356</v>
      </c>
      <c r="R112" t="s">
        <v>356</v>
      </c>
      <c r="S112" t="str" cm="1">
        <f t="array" ref="S112">IFERROR(LOOKUP(2,1/(E112:R112&lt;&gt;".."),E112:R112)/100,"")</f>
        <v/>
      </c>
      <c r="T112" t="str" cm="1">
        <f t="array" ref="T112">IFERROR(--LEFT(LOOKUP(2,1/(E112:R112&lt;&gt;".."),E$1:R$1),4),"")</f>
        <v/>
      </c>
    </row>
    <row r="113" spans="1:20" x14ac:dyDescent="0.35">
      <c r="A113" t="s">
        <v>8</v>
      </c>
      <c r="B113" s="1" t="s">
        <v>212</v>
      </c>
      <c r="C113" t="s">
        <v>88</v>
      </c>
      <c r="D113" s="1" t="s">
        <v>318</v>
      </c>
      <c r="E113" t="s">
        <v>356</v>
      </c>
      <c r="F113" t="s">
        <v>356</v>
      </c>
      <c r="G113" t="s">
        <v>356</v>
      </c>
      <c r="H113" t="s">
        <v>356</v>
      </c>
      <c r="I113" t="s">
        <v>356</v>
      </c>
      <c r="J113" t="s">
        <v>356</v>
      </c>
      <c r="K113" t="s">
        <v>356</v>
      </c>
      <c r="L113" t="s">
        <v>356</v>
      </c>
      <c r="M113" t="s">
        <v>356</v>
      </c>
      <c r="N113" t="s">
        <v>356</v>
      </c>
      <c r="O113" t="s">
        <v>356</v>
      </c>
      <c r="P113" t="s">
        <v>356</v>
      </c>
      <c r="Q113" t="s">
        <v>356</v>
      </c>
      <c r="R113" t="s">
        <v>356</v>
      </c>
      <c r="S113" t="str" cm="1">
        <f t="array" ref="S113">IFERROR(LOOKUP(2,1/(E113:R113&lt;&gt;".."),E113:R113)/100,"")</f>
        <v/>
      </c>
      <c r="T113" t="str" cm="1">
        <f t="array" ref="T113">IFERROR(--LEFT(LOOKUP(2,1/(E113:R113&lt;&gt;".."),E$1:R$1),4),"")</f>
        <v/>
      </c>
    </row>
    <row r="114" spans="1:20" x14ac:dyDescent="0.35">
      <c r="A114" t="s">
        <v>541</v>
      </c>
      <c r="B114" s="1" t="s">
        <v>202</v>
      </c>
      <c r="C114" t="s">
        <v>88</v>
      </c>
      <c r="D114" s="1" t="s">
        <v>318</v>
      </c>
      <c r="E114" t="s">
        <v>356</v>
      </c>
      <c r="F114">
        <v>29.111470000000001</v>
      </c>
      <c r="G114">
        <v>30.525549999999999</v>
      </c>
      <c r="H114">
        <v>31.080449999999999</v>
      </c>
      <c r="I114">
        <v>31.728570000000001</v>
      </c>
      <c r="J114">
        <v>32.637610000000002</v>
      </c>
      <c r="K114">
        <v>32.645609999999998</v>
      </c>
      <c r="L114">
        <v>32.166649999999997</v>
      </c>
      <c r="M114" t="s">
        <v>356</v>
      </c>
      <c r="N114" t="s">
        <v>356</v>
      </c>
      <c r="O114" t="s">
        <v>356</v>
      </c>
      <c r="P114" t="s">
        <v>356</v>
      </c>
      <c r="Q114" t="s">
        <v>356</v>
      </c>
      <c r="R114" t="s">
        <v>356</v>
      </c>
      <c r="S114" cm="1">
        <f t="array" ref="S114">IFERROR(LOOKUP(2,1/(E114:R114&lt;&gt;".."),E114:R114)/100,"")</f>
        <v>0.32166649999999997</v>
      </c>
      <c r="T114" cm="1">
        <f t="array" ref="T114">IFERROR(--LEFT(LOOKUP(2,1/(E114:R114&lt;&gt;".."),E$1:R$1),4),"")</f>
        <v>2019</v>
      </c>
    </row>
    <row r="115" spans="1:20" x14ac:dyDescent="0.35">
      <c r="A115" t="s">
        <v>303</v>
      </c>
      <c r="B115" s="1" t="s">
        <v>440</v>
      </c>
      <c r="C115" t="s">
        <v>88</v>
      </c>
      <c r="D115" s="1" t="s">
        <v>318</v>
      </c>
      <c r="E115" t="s">
        <v>356</v>
      </c>
      <c r="F115" t="s">
        <v>356</v>
      </c>
      <c r="G115" t="s">
        <v>356</v>
      </c>
      <c r="H115">
        <v>17.300609999999999</v>
      </c>
      <c r="I115">
        <v>18.623339999999999</v>
      </c>
      <c r="J115">
        <v>18.55179</v>
      </c>
      <c r="K115">
        <v>19.418700000000001</v>
      </c>
      <c r="L115" t="s">
        <v>356</v>
      </c>
      <c r="M115" t="s">
        <v>356</v>
      </c>
      <c r="N115" t="s">
        <v>356</v>
      </c>
      <c r="O115" t="s">
        <v>356</v>
      </c>
      <c r="P115" t="s">
        <v>356</v>
      </c>
      <c r="Q115" t="s">
        <v>356</v>
      </c>
      <c r="R115" t="s">
        <v>356</v>
      </c>
      <c r="S115" cm="1">
        <f t="array" ref="S115">IFERROR(LOOKUP(2,1/(E115:R115&lt;&gt;".."),E115:R115)/100,"")</f>
        <v>0.194187</v>
      </c>
      <c r="T115" cm="1">
        <f t="array" ref="T115">IFERROR(--LEFT(LOOKUP(2,1/(E115:R115&lt;&gt;".."),E$1:R$1),4),"")</f>
        <v>2018</v>
      </c>
    </row>
    <row r="116" spans="1:20" x14ac:dyDescent="0.35">
      <c r="A116" t="s">
        <v>270</v>
      </c>
      <c r="B116" s="1" t="s">
        <v>87</v>
      </c>
      <c r="C116" t="s">
        <v>88</v>
      </c>
      <c r="D116" s="1" t="s">
        <v>318</v>
      </c>
      <c r="E116">
        <v>47.677190000000003</v>
      </c>
      <c r="F116" t="s">
        <v>356</v>
      </c>
      <c r="G116" t="s">
        <v>356</v>
      </c>
      <c r="H116" t="s">
        <v>356</v>
      </c>
      <c r="I116">
        <v>43.857309999999998</v>
      </c>
      <c r="J116">
        <v>42.129559999999998</v>
      </c>
      <c r="K116">
        <v>40.19529</v>
      </c>
      <c r="L116" t="s">
        <v>356</v>
      </c>
      <c r="M116" t="s">
        <v>356</v>
      </c>
      <c r="N116" t="s">
        <v>356</v>
      </c>
      <c r="O116" t="s">
        <v>356</v>
      </c>
      <c r="P116" t="s">
        <v>356</v>
      </c>
      <c r="Q116" t="s">
        <v>356</v>
      </c>
      <c r="R116" t="s">
        <v>356</v>
      </c>
      <c r="S116" cm="1">
        <f t="array" ref="S116">IFERROR(LOOKUP(2,1/(E116:R116&lt;&gt;".."),E116:R116)/100,"")</f>
        <v>0.4019529</v>
      </c>
      <c r="T116" cm="1">
        <f t="array" ref="T116">IFERROR(--LEFT(LOOKUP(2,1/(E116:R116&lt;&gt;".."),E$1:R$1),4),"")</f>
        <v>2018</v>
      </c>
    </row>
    <row r="117" spans="1:20" x14ac:dyDescent="0.35">
      <c r="A117" t="s">
        <v>169</v>
      </c>
      <c r="B117" s="1" t="s">
        <v>477</v>
      </c>
      <c r="C117" t="s">
        <v>88</v>
      </c>
      <c r="D117" s="1" t="s">
        <v>318</v>
      </c>
      <c r="E117" t="s">
        <v>356</v>
      </c>
      <c r="F117" t="s">
        <v>356</v>
      </c>
      <c r="G117" t="s">
        <v>356</v>
      </c>
      <c r="H117" t="s">
        <v>356</v>
      </c>
      <c r="I117" t="s">
        <v>356</v>
      </c>
      <c r="J117" t="s">
        <v>356</v>
      </c>
      <c r="K117" t="s">
        <v>356</v>
      </c>
      <c r="L117" t="s">
        <v>356</v>
      </c>
      <c r="M117" t="s">
        <v>356</v>
      </c>
      <c r="N117" t="s">
        <v>356</v>
      </c>
      <c r="O117" t="s">
        <v>356</v>
      </c>
      <c r="P117" t="s">
        <v>356</v>
      </c>
      <c r="Q117" t="s">
        <v>356</v>
      </c>
      <c r="R117" t="s">
        <v>356</v>
      </c>
      <c r="S117" t="str" cm="1">
        <f t="array" ref="S117">IFERROR(LOOKUP(2,1/(E117:R117&lt;&gt;".."),E117:R117)/100,"")</f>
        <v/>
      </c>
      <c r="T117" t="str" cm="1">
        <f t="array" ref="T117">IFERROR(--LEFT(LOOKUP(2,1/(E117:R117&lt;&gt;".."),E$1:R$1),4),"")</f>
        <v/>
      </c>
    </row>
    <row r="118" spans="1:20" x14ac:dyDescent="0.35">
      <c r="A118" t="s">
        <v>189</v>
      </c>
      <c r="B118" s="1" t="s">
        <v>385</v>
      </c>
      <c r="C118" t="s">
        <v>88</v>
      </c>
      <c r="D118" s="1" t="s">
        <v>318</v>
      </c>
      <c r="E118">
        <v>25.082470000000001</v>
      </c>
      <c r="F118">
        <v>21.02224</v>
      </c>
      <c r="G118">
        <v>21.59957</v>
      </c>
      <c r="H118">
        <v>24.86665</v>
      </c>
      <c r="I118">
        <v>25.23179</v>
      </c>
      <c r="J118" t="s">
        <v>356</v>
      </c>
      <c r="K118" t="s">
        <v>356</v>
      </c>
      <c r="L118" t="s">
        <v>356</v>
      </c>
      <c r="M118" t="s">
        <v>356</v>
      </c>
      <c r="N118" t="s">
        <v>356</v>
      </c>
      <c r="O118" t="s">
        <v>356</v>
      </c>
      <c r="P118" t="s">
        <v>356</v>
      </c>
      <c r="Q118" t="s">
        <v>356</v>
      </c>
      <c r="R118" t="s">
        <v>356</v>
      </c>
      <c r="S118" cm="1">
        <f t="array" ref="S118">IFERROR(LOOKUP(2,1/(E118:R118&lt;&gt;".."),E118:R118)/100,"")</f>
        <v>0.25231789999999998</v>
      </c>
      <c r="T118" cm="1">
        <f t="array" ref="T118">IFERROR(--LEFT(LOOKUP(2,1/(E118:R118&lt;&gt;".."),E$1:R$1),4),"")</f>
        <v>2016</v>
      </c>
    </row>
    <row r="119" spans="1:20" x14ac:dyDescent="0.35">
      <c r="A119" t="s">
        <v>361</v>
      </c>
      <c r="B119" s="1" t="s">
        <v>506</v>
      </c>
      <c r="C119" t="s">
        <v>88</v>
      </c>
      <c r="D119" s="1" t="s">
        <v>318</v>
      </c>
      <c r="E119" t="s">
        <v>356</v>
      </c>
      <c r="F119" t="s">
        <v>356</v>
      </c>
      <c r="G119" t="s">
        <v>356</v>
      </c>
      <c r="H119" t="s">
        <v>356</v>
      </c>
      <c r="I119" t="s">
        <v>356</v>
      </c>
      <c r="J119" t="s">
        <v>356</v>
      </c>
      <c r="K119" t="s">
        <v>356</v>
      </c>
      <c r="L119" t="s">
        <v>356</v>
      </c>
      <c r="M119" t="s">
        <v>356</v>
      </c>
      <c r="N119" t="s">
        <v>356</v>
      </c>
      <c r="O119" t="s">
        <v>356</v>
      </c>
      <c r="P119" t="s">
        <v>356</v>
      </c>
      <c r="Q119" t="s">
        <v>356</v>
      </c>
      <c r="R119" t="s">
        <v>356</v>
      </c>
      <c r="S119" t="str" cm="1">
        <f t="array" ref="S119">IFERROR(LOOKUP(2,1/(E119:R119&lt;&gt;".."),E119:R119)/100,"")</f>
        <v/>
      </c>
      <c r="T119" t="str" cm="1">
        <f t="array" ref="T119">IFERROR(--LEFT(LOOKUP(2,1/(E119:R119&lt;&gt;".."),E$1:R$1),4),"")</f>
        <v/>
      </c>
    </row>
    <row r="120" spans="1:20" x14ac:dyDescent="0.35">
      <c r="A120" t="s">
        <v>200</v>
      </c>
      <c r="B120" s="1" t="s">
        <v>464</v>
      </c>
      <c r="C120" t="s">
        <v>88</v>
      </c>
      <c r="D120" s="1" t="s">
        <v>318</v>
      </c>
      <c r="E120" t="s">
        <v>356</v>
      </c>
      <c r="F120" t="s">
        <v>356</v>
      </c>
      <c r="G120" t="s">
        <v>356</v>
      </c>
      <c r="H120" t="s">
        <v>356</v>
      </c>
      <c r="I120" t="s">
        <v>356</v>
      </c>
      <c r="J120" t="s">
        <v>356</v>
      </c>
      <c r="K120" t="s">
        <v>356</v>
      </c>
      <c r="L120" t="s">
        <v>356</v>
      </c>
      <c r="M120" t="s">
        <v>356</v>
      </c>
      <c r="N120" t="s">
        <v>356</v>
      </c>
      <c r="O120" t="s">
        <v>356</v>
      </c>
      <c r="P120" t="s">
        <v>356</v>
      </c>
      <c r="Q120" t="s">
        <v>356</v>
      </c>
      <c r="R120" t="s">
        <v>356</v>
      </c>
      <c r="S120" t="str" cm="1">
        <f t="array" ref="S120">IFERROR(LOOKUP(2,1/(E120:R120&lt;&gt;".."),E120:R120)/100,"")</f>
        <v/>
      </c>
      <c r="T120" t="str" cm="1">
        <f t="array" ref="T120">IFERROR(--LEFT(LOOKUP(2,1/(E120:R120&lt;&gt;".."),E$1:R$1),4),"")</f>
        <v/>
      </c>
    </row>
    <row r="121" spans="1:20" x14ac:dyDescent="0.35">
      <c r="A121" t="s">
        <v>483</v>
      </c>
      <c r="B121" s="1" t="s">
        <v>343</v>
      </c>
      <c r="C121" t="s">
        <v>88</v>
      </c>
      <c r="D121" s="1" t="s">
        <v>318</v>
      </c>
      <c r="E121">
        <v>20.796500000000002</v>
      </c>
      <c r="F121">
        <v>24.132169999999999</v>
      </c>
      <c r="G121">
        <v>23.848610000000001</v>
      </c>
      <c r="H121">
        <v>23.34581</v>
      </c>
      <c r="I121">
        <v>23.276299999999999</v>
      </c>
      <c r="J121" t="s">
        <v>356</v>
      </c>
      <c r="K121">
        <v>24.199159999999999</v>
      </c>
      <c r="L121" t="s">
        <v>356</v>
      </c>
      <c r="M121" t="s">
        <v>356</v>
      </c>
      <c r="N121" t="s">
        <v>356</v>
      </c>
      <c r="O121" t="s">
        <v>356</v>
      </c>
      <c r="P121" t="s">
        <v>356</v>
      </c>
      <c r="Q121" t="s">
        <v>356</v>
      </c>
      <c r="R121" t="s">
        <v>356</v>
      </c>
      <c r="S121" cm="1">
        <f t="array" ref="S121">IFERROR(LOOKUP(2,1/(E121:R121&lt;&gt;".."),E121:R121)/100,"")</f>
        <v>0.2419916</v>
      </c>
      <c r="T121" cm="1">
        <f t="array" ref="T121">IFERROR(--LEFT(LOOKUP(2,1/(E121:R121&lt;&gt;".."),E$1:R$1),4),"")</f>
        <v>2018</v>
      </c>
    </row>
    <row r="122" spans="1:20" x14ac:dyDescent="0.35">
      <c r="A122" t="s">
        <v>384</v>
      </c>
      <c r="B122" s="1" t="s">
        <v>410</v>
      </c>
      <c r="C122" t="s">
        <v>88</v>
      </c>
      <c r="D122" s="1" t="s">
        <v>318</v>
      </c>
      <c r="E122" t="s">
        <v>356</v>
      </c>
      <c r="F122" t="s">
        <v>356</v>
      </c>
      <c r="G122" t="s">
        <v>356</v>
      </c>
      <c r="H122" t="s">
        <v>356</v>
      </c>
      <c r="I122" t="s">
        <v>356</v>
      </c>
      <c r="J122" t="s">
        <v>356</v>
      </c>
      <c r="K122" t="s">
        <v>356</v>
      </c>
      <c r="L122" t="s">
        <v>356</v>
      </c>
      <c r="M122" t="s">
        <v>356</v>
      </c>
      <c r="N122" t="s">
        <v>356</v>
      </c>
      <c r="O122" t="s">
        <v>356</v>
      </c>
      <c r="P122" t="s">
        <v>356</v>
      </c>
      <c r="Q122" t="s">
        <v>356</v>
      </c>
      <c r="R122" t="s">
        <v>356</v>
      </c>
      <c r="S122" t="str" cm="1">
        <f t="array" ref="S122">IFERROR(LOOKUP(2,1/(E122:R122&lt;&gt;".."),E122:R122)/100,"")</f>
        <v/>
      </c>
      <c r="T122" t="str" cm="1">
        <f t="array" ref="T122">IFERROR(--LEFT(LOOKUP(2,1/(E122:R122&lt;&gt;".."),E$1:R$1),4),"")</f>
        <v/>
      </c>
    </row>
    <row r="123" spans="1:20" x14ac:dyDescent="0.35">
      <c r="A123" t="s">
        <v>219</v>
      </c>
      <c r="B123" s="1" t="s">
        <v>32</v>
      </c>
      <c r="C123" t="s">
        <v>88</v>
      </c>
      <c r="D123" s="1" t="s">
        <v>318</v>
      </c>
      <c r="E123" t="s">
        <v>356</v>
      </c>
      <c r="F123" t="s">
        <v>356</v>
      </c>
      <c r="G123" t="s">
        <v>356</v>
      </c>
      <c r="H123" t="s">
        <v>356</v>
      </c>
      <c r="I123" t="s">
        <v>356</v>
      </c>
      <c r="J123" t="s">
        <v>356</v>
      </c>
      <c r="K123" t="s">
        <v>356</v>
      </c>
      <c r="L123" t="s">
        <v>356</v>
      </c>
      <c r="M123" t="s">
        <v>356</v>
      </c>
      <c r="N123" t="s">
        <v>356</v>
      </c>
      <c r="O123" t="s">
        <v>356</v>
      </c>
      <c r="P123" t="s">
        <v>356</v>
      </c>
      <c r="Q123" t="s">
        <v>356</v>
      </c>
      <c r="R123" t="s">
        <v>356</v>
      </c>
      <c r="S123" t="str" cm="1">
        <f t="array" ref="S123">IFERROR(LOOKUP(2,1/(E123:R123&lt;&gt;".."),E123:R123)/100,"")</f>
        <v/>
      </c>
      <c r="T123" t="str" cm="1">
        <f t="array" ref="T123">IFERROR(--LEFT(LOOKUP(2,1/(E123:R123&lt;&gt;".."),E$1:R$1),4),"")</f>
        <v/>
      </c>
    </row>
    <row r="124" spans="1:20" x14ac:dyDescent="0.35">
      <c r="A124" t="s">
        <v>513</v>
      </c>
      <c r="B124" s="1" t="s">
        <v>393</v>
      </c>
      <c r="C124" t="s">
        <v>88</v>
      </c>
      <c r="D124" s="1" t="s">
        <v>318</v>
      </c>
      <c r="E124" t="s">
        <v>356</v>
      </c>
      <c r="F124" t="s">
        <v>356</v>
      </c>
      <c r="G124" t="s">
        <v>356</v>
      </c>
      <c r="H124">
        <v>26.364339999999999</v>
      </c>
      <c r="I124" t="s">
        <v>356</v>
      </c>
      <c r="J124" t="s">
        <v>356</v>
      </c>
      <c r="K124" t="s">
        <v>356</v>
      </c>
      <c r="L124" t="s">
        <v>356</v>
      </c>
      <c r="M124" t="s">
        <v>356</v>
      </c>
      <c r="N124" t="s">
        <v>356</v>
      </c>
      <c r="O124" t="s">
        <v>356</v>
      </c>
      <c r="P124" t="s">
        <v>356</v>
      </c>
      <c r="Q124" t="s">
        <v>356</v>
      </c>
      <c r="R124" t="s">
        <v>356</v>
      </c>
      <c r="S124" cm="1">
        <f t="array" ref="S124">IFERROR(LOOKUP(2,1/(E124:R124&lt;&gt;".."),E124:R124)/100,"")</f>
        <v>0.26364339999999997</v>
      </c>
      <c r="T124" cm="1">
        <f t="array" ref="T124">IFERROR(--LEFT(LOOKUP(2,1/(E124:R124&lt;&gt;".."),E$1:R$1),4),"")</f>
        <v>2015</v>
      </c>
    </row>
    <row r="125" spans="1:20" x14ac:dyDescent="0.35">
      <c r="A125" t="s">
        <v>530</v>
      </c>
      <c r="B125" s="1" t="s">
        <v>2</v>
      </c>
      <c r="C125" t="s">
        <v>88</v>
      </c>
      <c r="D125" s="1" t="s">
        <v>318</v>
      </c>
      <c r="E125" t="s">
        <v>356</v>
      </c>
      <c r="F125" t="s">
        <v>356</v>
      </c>
      <c r="G125" t="s">
        <v>356</v>
      </c>
      <c r="H125" t="s">
        <v>356</v>
      </c>
      <c r="I125">
        <v>26.41198</v>
      </c>
      <c r="J125">
        <v>23.177900000000001</v>
      </c>
      <c r="K125">
        <v>24.841419999999999</v>
      </c>
      <c r="L125">
        <v>24.729340000000001</v>
      </c>
      <c r="M125" t="s">
        <v>356</v>
      </c>
      <c r="N125" t="s">
        <v>356</v>
      </c>
      <c r="O125" t="s">
        <v>356</v>
      </c>
      <c r="P125" t="s">
        <v>356</v>
      </c>
      <c r="Q125" t="s">
        <v>356</v>
      </c>
      <c r="R125" t="s">
        <v>356</v>
      </c>
      <c r="S125" cm="1">
        <f t="array" ref="S125">IFERROR(LOOKUP(2,1/(E125:R125&lt;&gt;".."),E125:R125)/100,"")</f>
        <v>0.2472934</v>
      </c>
      <c r="T125" cm="1">
        <f t="array" ref="T125">IFERROR(--LEFT(LOOKUP(2,1/(E125:R125&lt;&gt;".."),E$1:R$1),4),"")</f>
        <v>2019</v>
      </c>
    </row>
    <row r="126" spans="1:20" x14ac:dyDescent="0.35">
      <c r="A126" t="s">
        <v>301</v>
      </c>
      <c r="B126" s="1" t="s">
        <v>132</v>
      </c>
      <c r="C126" t="s">
        <v>88</v>
      </c>
      <c r="D126" s="1" t="s">
        <v>318</v>
      </c>
      <c r="E126" t="s">
        <v>356</v>
      </c>
      <c r="F126" t="s">
        <v>356</v>
      </c>
      <c r="G126" t="s">
        <v>356</v>
      </c>
      <c r="H126" t="s">
        <v>356</v>
      </c>
      <c r="I126">
        <v>16.47824</v>
      </c>
      <c r="J126" t="s">
        <v>356</v>
      </c>
      <c r="K126" t="s">
        <v>356</v>
      </c>
      <c r="L126" t="s">
        <v>356</v>
      </c>
      <c r="M126" t="s">
        <v>356</v>
      </c>
      <c r="N126" t="s">
        <v>356</v>
      </c>
      <c r="O126" t="s">
        <v>356</v>
      </c>
      <c r="P126" t="s">
        <v>356</v>
      </c>
      <c r="Q126" t="s">
        <v>356</v>
      </c>
      <c r="R126" t="s">
        <v>356</v>
      </c>
      <c r="S126" cm="1">
        <f t="array" ref="S126">IFERROR(LOOKUP(2,1/(E126:R126&lt;&gt;".."),E126:R126)/100,"")</f>
        <v>0.1647824</v>
      </c>
      <c r="T126" cm="1">
        <f t="array" ref="T126">IFERROR(--LEFT(LOOKUP(2,1/(E126:R126&lt;&gt;".."),E$1:R$1),4),"")</f>
        <v>2016</v>
      </c>
    </row>
    <row r="127" spans="1:20" x14ac:dyDescent="0.35">
      <c r="A127" t="s">
        <v>31</v>
      </c>
      <c r="B127" s="1" t="s">
        <v>61</v>
      </c>
      <c r="C127" t="s">
        <v>88</v>
      </c>
      <c r="D127" s="1" t="s">
        <v>318</v>
      </c>
      <c r="E127" t="s">
        <v>356</v>
      </c>
      <c r="F127" t="s">
        <v>356</v>
      </c>
      <c r="G127" t="s">
        <v>356</v>
      </c>
      <c r="H127" t="s">
        <v>356</v>
      </c>
      <c r="I127" t="s">
        <v>356</v>
      </c>
      <c r="J127" t="s">
        <v>356</v>
      </c>
      <c r="K127" t="s">
        <v>356</v>
      </c>
      <c r="L127" t="s">
        <v>356</v>
      </c>
      <c r="M127" t="s">
        <v>356</v>
      </c>
      <c r="N127" t="s">
        <v>356</v>
      </c>
      <c r="O127" t="s">
        <v>356</v>
      </c>
      <c r="P127" t="s">
        <v>356</v>
      </c>
      <c r="Q127" t="s">
        <v>356</v>
      </c>
      <c r="R127" t="s">
        <v>356</v>
      </c>
      <c r="S127" t="str" cm="1">
        <f t="array" ref="S127">IFERROR(LOOKUP(2,1/(E127:R127&lt;&gt;".."),E127:R127)/100,"")</f>
        <v/>
      </c>
      <c r="T127" t="str" cm="1">
        <f t="array" ref="T127">IFERROR(--LEFT(LOOKUP(2,1/(E127:R127&lt;&gt;".."),E$1:R$1),4),"")</f>
        <v/>
      </c>
    </row>
    <row r="128" spans="1:20" x14ac:dyDescent="0.35">
      <c r="A128" t="s">
        <v>467</v>
      </c>
      <c r="B128" s="1" t="s">
        <v>419</v>
      </c>
      <c r="C128" t="s">
        <v>88</v>
      </c>
      <c r="D128" s="1" t="s">
        <v>318</v>
      </c>
      <c r="E128" t="s">
        <v>356</v>
      </c>
      <c r="F128" t="s">
        <v>356</v>
      </c>
      <c r="G128" t="s">
        <v>356</v>
      </c>
      <c r="H128">
        <v>41.802959999999999</v>
      </c>
      <c r="I128" t="s">
        <v>356</v>
      </c>
      <c r="J128" t="s">
        <v>356</v>
      </c>
      <c r="K128" t="s">
        <v>356</v>
      </c>
      <c r="L128" t="s">
        <v>356</v>
      </c>
      <c r="M128" t="s">
        <v>356</v>
      </c>
      <c r="N128" t="s">
        <v>356</v>
      </c>
      <c r="O128" t="s">
        <v>356</v>
      </c>
      <c r="P128" t="s">
        <v>356</v>
      </c>
      <c r="Q128" t="s">
        <v>356</v>
      </c>
      <c r="R128" t="s">
        <v>356</v>
      </c>
      <c r="S128" cm="1">
        <f t="array" ref="S128">IFERROR(LOOKUP(2,1/(E128:R128&lt;&gt;".."),E128:R128)/100,"")</f>
        <v>0.4180296</v>
      </c>
      <c r="T128" cm="1">
        <f t="array" ref="T128">IFERROR(--LEFT(LOOKUP(2,1/(E128:R128&lt;&gt;".."),E$1:R$1),4),"")</f>
        <v>2015</v>
      </c>
    </row>
    <row r="129" spans="1:20" x14ac:dyDescent="0.35">
      <c r="A129" t="s">
        <v>164</v>
      </c>
      <c r="B129" s="1" t="s">
        <v>366</v>
      </c>
      <c r="C129" t="s">
        <v>88</v>
      </c>
      <c r="D129" s="1" t="s">
        <v>318</v>
      </c>
      <c r="E129" t="s">
        <v>356</v>
      </c>
      <c r="F129" t="s">
        <v>356</v>
      </c>
      <c r="G129" t="s">
        <v>356</v>
      </c>
      <c r="H129">
        <v>29.549060000000001</v>
      </c>
      <c r="I129">
        <v>29.905670000000001</v>
      </c>
      <c r="J129">
        <v>29.344200000000001</v>
      </c>
      <c r="K129" t="s">
        <v>356</v>
      </c>
      <c r="L129" t="s">
        <v>356</v>
      </c>
      <c r="M129" t="s">
        <v>356</v>
      </c>
      <c r="N129" t="s">
        <v>356</v>
      </c>
      <c r="O129" t="s">
        <v>356</v>
      </c>
      <c r="P129" t="s">
        <v>356</v>
      </c>
      <c r="Q129" t="s">
        <v>356</v>
      </c>
      <c r="R129" t="s">
        <v>356</v>
      </c>
      <c r="S129" cm="1">
        <f t="array" ref="S129">IFERROR(LOOKUP(2,1/(E129:R129&lt;&gt;".."),E129:R129)/100,"")</f>
        <v>0.29344199999999998</v>
      </c>
      <c r="T129" cm="1">
        <f t="array" ref="T129">IFERROR(--LEFT(LOOKUP(2,1/(E129:R129&lt;&gt;".."),E$1:R$1),4),"")</f>
        <v>2017</v>
      </c>
    </row>
    <row r="130" spans="1:20" x14ac:dyDescent="0.35">
      <c r="A130" t="s">
        <v>16</v>
      </c>
      <c r="B130" s="1" t="s">
        <v>79</v>
      </c>
      <c r="C130" t="s">
        <v>88</v>
      </c>
      <c r="D130" s="1" t="s">
        <v>318</v>
      </c>
      <c r="E130" t="s">
        <v>356</v>
      </c>
      <c r="F130" t="s">
        <v>356</v>
      </c>
      <c r="G130" t="s">
        <v>356</v>
      </c>
      <c r="H130" t="s">
        <v>356</v>
      </c>
      <c r="I130" t="s">
        <v>356</v>
      </c>
      <c r="J130" t="s">
        <v>356</v>
      </c>
      <c r="K130" t="s">
        <v>356</v>
      </c>
      <c r="L130" t="s">
        <v>356</v>
      </c>
      <c r="M130" t="s">
        <v>356</v>
      </c>
      <c r="N130" t="s">
        <v>356</v>
      </c>
      <c r="O130" t="s">
        <v>356</v>
      </c>
      <c r="P130" t="s">
        <v>356</v>
      </c>
      <c r="Q130" t="s">
        <v>356</v>
      </c>
      <c r="R130" t="s">
        <v>356</v>
      </c>
      <c r="S130" t="str" cm="1">
        <f t="array" ref="S130">IFERROR(LOOKUP(2,1/(E130:R130&lt;&gt;".."),E130:R130)/100,"")</f>
        <v/>
      </c>
      <c r="T130" t="str" cm="1">
        <f t="array" ref="T130">IFERROR(--LEFT(LOOKUP(2,1/(E130:R130&lt;&gt;".."),E$1:R$1),4),"")</f>
        <v/>
      </c>
    </row>
    <row r="131" spans="1:20" x14ac:dyDescent="0.35">
      <c r="A131" t="s">
        <v>126</v>
      </c>
      <c r="B131" s="1" t="s">
        <v>239</v>
      </c>
      <c r="C131" t="s">
        <v>88</v>
      </c>
      <c r="D131" s="1" t="s">
        <v>318</v>
      </c>
      <c r="E131" t="s">
        <v>356</v>
      </c>
      <c r="F131" t="s">
        <v>356</v>
      </c>
      <c r="G131" t="s">
        <v>356</v>
      </c>
      <c r="H131" t="s">
        <v>356</v>
      </c>
      <c r="I131" t="s">
        <v>356</v>
      </c>
      <c r="J131" t="s">
        <v>356</v>
      </c>
      <c r="K131" t="s">
        <v>356</v>
      </c>
      <c r="L131" t="s">
        <v>356</v>
      </c>
      <c r="M131" t="s">
        <v>356</v>
      </c>
      <c r="N131" t="s">
        <v>356</v>
      </c>
      <c r="O131" t="s">
        <v>356</v>
      </c>
      <c r="P131" t="s">
        <v>356</v>
      </c>
      <c r="Q131" t="s">
        <v>356</v>
      </c>
      <c r="R131" t="s">
        <v>356</v>
      </c>
      <c r="S131" t="str" cm="1">
        <f t="array" ref="S131">IFERROR(LOOKUP(2,1/(E131:R131&lt;&gt;".."),E131:R131)/100,"")</f>
        <v/>
      </c>
      <c r="T131" t="str" cm="1">
        <f t="array" ref="T131">IFERROR(--LEFT(LOOKUP(2,1/(E131:R131&lt;&gt;".."),E$1:R$1),4),"")</f>
        <v/>
      </c>
    </row>
    <row r="132" spans="1:20" x14ac:dyDescent="0.35">
      <c r="A132" t="s">
        <v>428</v>
      </c>
      <c r="B132" s="1" t="s">
        <v>298</v>
      </c>
      <c r="C132" t="s">
        <v>88</v>
      </c>
      <c r="D132" s="1" t="s">
        <v>318</v>
      </c>
      <c r="E132">
        <v>16.670339999999999</v>
      </c>
      <c r="F132" t="s">
        <v>356</v>
      </c>
      <c r="G132" t="s">
        <v>356</v>
      </c>
      <c r="H132">
        <v>15.03566</v>
      </c>
      <c r="I132">
        <v>19.213339999999999</v>
      </c>
      <c r="J132">
        <v>20.45438</v>
      </c>
      <c r="K132">
        <v>20.794930000000001</v>
      </c>
      <c r="L132">
        <v>19.71237</v>
      </c>
      <c r="M132" t="s">
        <v>356</v>
      </c>
      <c r="N132" t="s">
        <v>356</v>
      </c>
      <c r="O132" t="s">
        <v>356</v>
      </c>
      <c r="P132" t="s">
        <v>356</v>
      </c>
      <c r="Q132" t="s">
        <v>356</v>
      </c>
      <c r="R132" t="s">
        <v>356</v>
      </c>
      <c r="S132" cm="1">
        <f t="array" ref="S132">IFERROR(LOOKUP(2,1/(E132:R132&lt;&gt;".."),E132:R132)/100,"")</f>
        <v>0.19712370000000001</v>
      </c>
      <c r="T132" cm="1">
        <f t="array" ref="T132">IFERROR(--LEFT(LOOKUP(2,1/(E132:R132&lt;&gt;".."),E$1:R$1),4),"")</f>
        <v>2019</v>
      </c>
    </row>
    <row r="133" spans="1:20" x14ac:dyDescent="0.35">
      <c r="A133" t="s">
        <v>19</v>
      </c>
      <c r="B133" s="1" t="s">
        <v>283</v>
      </c>
      <c r="C133" t="s">
        <v>88</v>
      </c>
      <c r="D133" s="1" t="s">
        <v>318</v>
      </c>
      <c r="E133">
        <v>12.001519999999999</v>
      </c>
      <c r="F133" t="s">
        <v>356</v>
      </c>
      <c r="G133" t="s">
        <v>356</v>
      </c>
      <c r="H133">
        <v>11.849209999999999</v>
      </c>
      <c r="I133">
        <v>12.42258</v>
      </c>
      <c r="J133">
        <v>16.85877</v>
      </c>
      <c r="K133">
        <v>22.4605</v>
      </c>
      <c r="L133" t="s">
        <v>356</v>
      </c>
      <c r="M133" t="s">
        <v>356</v>
      </c>
      <c r="N133" t="s">
        <v>356</v>
      </c>
      <c r="O133" t="s">
        <v>356</v>
      </c>
      <c r="P133" t="s">
        <v>356</v>
      </c>
      <c r="Q133" t="s">
        <v>356</v>
      </c>
      <c r="R133" t="s">
        <v>356</v>
      </c>
      <c r="S133" cm="1">
        <f t="array" ref="S133">IFERROR(LOOKUP(2,1/(E133:R133&lt;&gt;".."),E133:R133)/100,"")</f>
        <v>0.224605</v>
      </c>
      <c r="T133" cm="1">
        <f t="array" ref="T133">IFERROR(--LEFT(LOOKUP(2,1/(E133:R133&lt;&gt;".."),E$1:R$1),4),"")</f>
        <v>2018</v>
      </c>
    </row>
    <row r="134" spans="1:20" x14ac:dyDescent="0.35">
      <c r="A134" t="s">
        <v>214</v>
      </c>
      <c r="B134" s="1" t="s">
        <v>127</v>
      </c>
      <c r="C134" t="s">
        <v>88</v>
      </c>
      <c r="D134" s="1" t="s">
        <v>318</v>
      </c>
      <c r="E134" t="s">
        <v>356</v>
      </c>
      <c r="F134" t="s">
        <v>356</v>
      </c>
      <c r="G134" t="s">
        <v>356</v>
      </c>
      <c r="H134" t="s">
        <v>356</v>
      </c>
      <c r="I134" t="s">
        <v>356</v>
      </c>
      <c r="J134" t="s">
        <v>356</v>
      </c>
      <c r="K134" t="s">
        <v>356</v>
      </c>
      <c r="L134" t="s">
        <v>356</v>
      </c>
      <c r="M134" t="s">
        <v>356</v>
      </c>
      <c r="N134" t="s">
        <v>356</v>
      </c>
      <c r="O134" t="s">
        <v>356</v>
      </c>
      <c r="P134" t="s">
        <v>356</v>
      </c>
      <c r="Q134" t="s">
        <v>356</v>
      </c>
      <c r="R134" t="s">
        <v>356</v>
      </c>
      <c r="S134" t="str" cm="1">
        <f t="array" ref="S134">IFERROR(LOOKUP(2,1/(E134:R134&lt;&gt;".."),E134:R134)/100,"")</f>
        <v/>
      </c>
      <c r="T134" t="str" cm="1">
        <f t="array" ref="T134">IFERROR(--LEFT(LOOKUP(2,1/(E134:R134&lt;&gt;".."),E$1:R$1),4),"")</f>
        <v/>
      </c>
    </row>
    <row r="135" spans="1:20" x14ac:dyDescent="0.35">
      <c r="A135" t="s">
        <v>368</v>
      </c>
      <c r="B135" s="1" t="s">
        <v>463</v>
      </c>
      <c r="C135" t="s">
        <v>88</v>
      </c>
      <c r="D135" s="1" t="s">
        <v>318</v>
      </c>
      <c r="E135" t="s">
        <v>356</v>
      </c>
      <c r="F135" t="s">
        <v>356</v>
      </c>
      <c r="G135" t="s">
        <v>356</v>
      </c>
      <c r="H135" t="s">
        <v>356</v>
      </c>
      <c r="I135" t="s">
        <v>356</v>
      </c>
      <c r="J135" t="s">
        <v>356</v>
      </c>
      <c r="K135" t="s">
        <v>356</v>
      </c>
      <c r="L135" t="s">
        <v>356</v>
      </c>
      <c r="M135" t="s">
        <v>356</v>
      </c>
      <c r="N135" t="s">
        <v>356</v>
      </c>
      <c r="O135" t="s">
        <v>356</v>
      </c>
      <c r="P135" t="s">
        <v>356</v>
      </c>
      <c r="Q135" t="s">
        <v>356</v>
      </c>
      <c r="R135" t="s">
        <v>356</v>
      </c>
      <c r="S135" t="str" cm="1">
        <f t="array" ref="S135">IFERROR(LOOKUP(2,1/(E135:R135&lt;&gt;".."),E135:R135)/100,"")</f>
        <v/>
      </c>
      <c r="T135" t="str" cm="1">
        <f t="array" ref="T135">IFERROR(--LEFT(LOOKUP(2,1/(E135:R135&lt;&gt;".."),E$1:R$1),4),"")</f>
        <v/>
      </c>
    </row>
    <row r="136" spans="1:20" x14ac:dyDescent="0.35">
      <c r="A136" t="s">
        <v>17</v>
      </c>
      <c r="B136" s="1" t="s">
        <v>146</v>
      </c>
      <c r="C136" t="s">
        <v>88</v>
      </c>
      <c r="D136" s="1" t="s">
        <v>318</v>
      </c>
      <c r="E136" t="s">
        <v>356</v>
      </c>
      <c r="F136" t="s">
        <v>356</v>
      </c>
      <c r="G136" t="s">
        <v>356</v>
      </c>
      <c r="H136" t="s">
        <v>356</v>
      </c>
      <c r="I136" t="s">
        <v>356</v>
      </c>
      <c r="J136" t="s">
        <v>356</v>
      </c>
      <c r="K136" t="s">
        <v>356</v>
      </c>
      <c r="L136" t="s">
        <v>356</v>
      </c>
      <c r="M136" t="s">
        <v>356</v>
      </c>
      <c r="N136" t="s">
        <v>356</v>
      </c>
      <c r="O136" t="s">
        <v>356</v>
      </c>
      <c r="P136" t="s">
        <v>356</v>
      </c>
      <c r="Q136" t="s">
        <v>356</v>
      </c>
      <c r="R136" t="s">
        <v>356</v>
      </c>
      <c r="S136" t="str" cm="1">
        <f t="array" ref="S136">IFERROR(LOOKUP(2,1/(E136:R136&lt;&gt;".."),E136:R136)/100,"")</f>
        <v/>
      </c>
      <c r="T136" t="str" cm="1">
        <f t="array" ref="T136">IFERROR(--LEFT(LOOKUP(2,1/(E136:R136&lt;&gt;".."),E$1:R$1),4),"")</f>
        <v/>
      </c>
    </row>
    <row r="137" spans="1:20" x14ac:dyDescent="0.35">
      <c r="A137" t="s">
        <v>220</v>
      </c>
      <c r="B137" s="1" t="s">
        <v>25</v>
      </c>
      <c r="C137" t="s">
        <v>88</v>
      </c>
      <c r="D137" s="1" t="s">
        <v>318</v>
      </c>
      <c r="E137" t="s">
        <v>356</v>
      </c>
      <c r="F137" t="s">
        <v>356</v>
      </c>
      <c r="G137" t="s">
        <v>356</v>
      </c>
      <c r="H137" t="s">
        <v>356</v>
      </c>
      <c r="I137" t="s">
        <v>356</v>
      </c>
      <c r="J137" t="s">
        <v>356</v>
      </c>
      <c r="K137" t="s">
        <v>356</v>
      </c>
      <c r="L137" t="s">
        <v>356</v>
      </c>
      <c r="M137" t="s">
        <v>356</v>
      </c>
      <c r="N137" t="s">
        <v>356</v>
      </c>
      <c r="O137" t="s">
        <v>356</v>
      </c>
      <c r="P137" t="s">
        <v>356</v>
      </c>
      <c r="Q137" t="s">
        <v>356</v>
      </c>
      <c r="R137" t="s">
        <v>356</v>
      </c>
      <c r="S137" t="str" cm="1">
        <f t="array" ref="S137">IFERROR(LOOKUP(2,1/(E137:R137&lt;&gt;".."),E137:R137)/100,"")</f>
        <v/>
      </c>
      <c r="T137" t="str" cm="1">
        <f t="array" ref="T137">IFERROR(--LEFT(LOOKUP(2,1/(E137:R137&lt;&gt;".."),E$1:R$1),4),"")</f>
        <v/>
      </c>
    </row>
    <row r="138" spans="1:20" x14ac:dyDescent="0.35">
      <c r="A138" t="s">
        <v>147</v>
      </c>
      <c r="B138" s="1" t="s">
        <v>133</v>
      </c>
      <c r="C138" t="s">
        <v>88</v>
      </c>
      <c r="D138" s="1" t="s">
        <v>318</v>
      </c>
      <c r="E138">
        <v>20.03539</v>
      </c>
      <c r="F138">
        <v>19.051369999999999</v>
      </c>
      <c r="G138">
        <v>21.314499999999999</v>
      </c>
      <c r="H138">
        <v>20.457080000000001</v>
      </c>
      <c r="I138">
        <v>20.517849999999999</v>
      </c>
      <c r="J138">
        <v>20.874749999999999</v>
      </c>
      <c r="K138">
        <v>20.17184</v>
      </c>
      <c r="L138" t="s">
        <v>356</v>
      </c>
      <c r="M138" t="s">
        <v>356</v>
      </c>
      <c r="N138" t="s">
        <v>356</v>
      </c>
      <c r="O138" t="s">
        <v>356</v>
      </c>
      <c r="P138" t="s">
        <v>356</v>
      </c>
      <c r="Q138" t="s">
        <v>356</v>
      </c>
      <c r="R138" t="s">
        <v>356</v>
      </c>
      <c r="S138" cm="1">
        <f t="array" ref="S138">IFERROR(LOOKUP(2,1/(E138:R138&lt;&gt;".."),E138:R138)/100,"")</f>
        <v>0.20171839999999999</v>
      </c>
      <c r="T138" cm="1">
        <f t="array" ref="T138">IFERROR(--LEFT(LOOKUP(2,1/(E138:R138&lt;&gt;".."),E$1:R$1),4),"")</f>
        <v>2018</v>
      </c>
    </row>
    <row r="139" spans="1:20" x14ac:dyDescent="0.35">
      <c r="A139" t="s">
        <v>445</v>
      </c>
      <c r="B139" s="1" t="s">
        <v>295</v>
      </c>
      <c r="C139" t="s">
        <v>88</v>
      </c>
      <c r="D139" s="1" t="s">
        <v>318</v>
      </c>
      <c r="E139" t="s">
        <v>356</v>
      </c>
      <c r="F139" t="s">
        <v>356</v>
      </c>
      <c r="G139" t="s">
        <v>356</v>
      </c>
      <c r="H139" t="s">
        <v>356</v>
      </c>
      <c r="I139" t="s">
        <v>356</v>
      </c>
      <c r="J139" t="s">
        <v>356</v>
      </c>
      <c r="K139" t="s">
        <v>356</v>
      </c>
      <c r="L139" t="s">
        <v>356</v>
      </c>
      <c r="M139" t="s">
        <v>356</v>
      </c>
      <c r="N139" t="s">
        <v>356</v>
      </c>
      <c r="O139" t="s">
        <v>356</v>
      </c>
      <c r="P139" t="s">
        <v>356</v>
      </c>
      <c r="Q139" t="s">
        <v>356</v>
      </c>
      <c r="R139" t="s">
        <v>356</v>
      </c>
      <c r="S139" t="str" cm="1">
        <f t="array" ref="S139">IFERROR(LOOKUP(2,1/(E139:R139&lt;&gt;".."),E139:R139)/100,"")</f>
        <v/>
      </c>
      <c r="T139" t="str" cm="1">
        <f t="array" ref="T139">IFERROR(--LEFT(LOOKUP(2,1/(E139:R139&lt;&gt;".."),E$1:R$1),4),"")</f>
        <v/>
      </c>
    </row>
    <row r="140" spans="1:20" x14ac:dyDescent="0.35">
      <c r="A140" t="s">
        <v>36</v>
      </c>
      <c r="B140" s="1" t="s">
        <v>548</v>
      </c>
      <c r="C140" t="s">
        <v>88</v>
      </c>
      <c r="D140" s="1" t="s">
        <v>318</v>
      </c>
      <c r="E140" t="s">
        <v>356</v>
      </c>
      <c r="F140" t="s">
        <v>356</v>
      </c>
      <c r="G140" t="s">
        <v>356</v>
      </c>
      <c r="H140" t="s">
        <v>356</v>
      </c>
      <c r="I140" t="s">
        <v>356</v>
      </c>
      <c r="J140" t="s">
        <v>356</v>
      </c>
      <c r="K140" t="s">
        <v>356</v>
      </c>
      <c r="L140" t="s">
        <v>356</v>
      </c>
      <c r="M140" t="s">
        <v>356</v>
      </c>
      <c r="N140" t="s">
        <v>356</v>
      </c>
      <c r="O140" t="s">
        <v>356</v>
      </c>
      <c r="P140" t="s">
        <v>356</v>
      </c>
      <c r="Q140" t="s">
        <v>356</v>
      </c>
      <c r="R140" t="s">
        <v>356</v>
      </c>
      <c r="S140" t="str" cm="1">
        <f t="array" ref="S140">IFERROR(LOOKUP(2,1/(E140:R140&lt;&gt;".."),E140:R140)/100,"")</f>
        <v/>
      </c>
      <c r="T140" t="str" cm="1">
        <f t="array" ref="T140">IFERROR(--LEFT(LOOKUP(2,1/(E140:R140&lt;&gt;".."),E$1:R$1),4),"")</f>
        <v/>
      </c>
    </row>
    <row r="141" spans="1:20" x14ac:dyDescent="0.35">
      <c r="A141" t="s">
        <v>473</v>
      </c>
      <c r="B141" s="1" t="s">
        <v>394</v>
      </c>
      <c r="C141" t="s">
        <v>88</v>
      </c>
      <c r="D141" s="1" t="s">
        <v>318</v>
      </c>
      <c r="E141" t="s">
        <v>356</v>
      </c>
      <c r="F141" t="s">
        <v>356</v>
      </c>
      <c r="G141" t="s">
        <v>356</v>
      </c>
      <c r="H141" t="s">
        <v>356</v>
      </c>
      <c r="I141" t="s">
        <v>356</v>
      </c>
      <c r="J141" t="s">
        <v>356</v>
      </c>
      <c r="K141" t="s">
        <v>356</v>
      </c>
      <c r="L141" t="s">
        <v>356</v>
      </c>
      <c r="M141" t="s">
        <v>356</v>
      </c>
      <c r="N141" t="s">
        <v>356</v>
      </c>
      <c r="O141" t="s">
        <v>356</v>
      </c>
      <c r="P141" t="s">
        <v>356</v>
      </c>
      <c r="Q141" t="s">
        <v>356</v>
      </c>
      <c r="R141" t="s">
        <v>356</v>
      </c>
      <c r="S141" t="str" cm="1">
        <f t="array" ref="S141">IFERROR(LOOKUP(2,1/(E141:R141&lt;&gt;".."),E141:R141)/100,"")</f>
        <v/>
      </c>
      <c r="T141" t="str" cm="1">
        <f t="array" ref="T141">IFERROR(--LEFT(LOOKUP(2,1/(E141:R141&lt;&gt;".."),E$1:R$1),4),"")</f>
        <v/>
      </c>
    </row>
    <row r="142" spans="1:20" x14ac:dyDescent="0.35">
      <c r="A142" t="s">
        <v>481</v>
      </c>
      <c r="B142" s="1" t="s">
        <v>441</v>
      </c>
      <c r="C142" t="s">
        <v>88</v>
      </c>
      <c r="D142" s="1" t="s">
        <v>318</v>
      </c>
      <c r="E142">
        <v>12.552239999999999</v>
      </c>
      <c r="F142" t="s">
        <v>356</v>
      </c>
      <c r="G142" t="s">
        <v>356</v>
      </c>
      <c r="H142">
        <v>11.6723</v>
      </c>
      <c r="I142" t="s">
        <v>356</v>
      </c>
      <c r="J142" t="s">
        <v>356</v>
      </c>
      <c r="K142">
        <v>15.35962</v>
      </c>
      <c r="L142" t="s">
        <v>356</v>
      </c>
      <c r="M142" t="s">
        <v>356</v>
      </c>
      <c r="N142" t="s">
        <v>356</v>
      </c>
      <c r="O142" t="s">
        <v>356</v>
      </c>
      <c r="P142" t="s">
        <v>356</v>
      </c>
      <c r="Q142" t="s">
        <v>356</v>
      </c>
      <c r="R142" t="s">
        <v>356</v>
      </c>
      <c r="S142" cm="1">
        <f t="array" ref="S142">IFERROR(LOOKUP(2,1/(E142:R142&lt;&gt;".."),E142:R142)/100,"")</f>
        <v>0.15359619999999999</v>
      </c>
      <c r="T142" cm="1">
        <f t="array" ref="T142">IFERROR(--LEFT(LOOKUP(2,1/(E142:R142&lt;&gt;".."),E$1:R$1),4),"")</f>
        <v>2018</v>
      </c>
    </row>
    <row r="143" spans="1:20" x14ac:dyDescent="0.35">
      <c r="A143" t="s">
        <v>278</v>
      </c>
      <c r="B143" s="1" t="s">
        <v>203</v>
      </c>
      <c r="C143" t="s">
        <v>88</v>
      </c>
      <c r="D143" s="1" t="s">
        <v>318</v>
      </c>
      <c r="E143" t="s">
        <v>356</v>
      </c>
      <c r="F143" t="s">
        <v>356</v>
      </c>
      <c r="G143" t="s">
        <v>356</v>
      </c>
      <c r="H143" t="s">
        <v>356</v>
      </c>
      <c r="I143" t="s">
        <v>356</v>
      </c>
      <c r="J143" t="s">
        <v>356</v>
      </c>
      <c r="K143" t="s">
        <v>356</v>
      </c>
      <c r="L143" t="s">
        <v>356</v>
      </c>
      <c r="M143" t="s">
        <v>356</v>
      </c>
      <c r="N143" t="s">
        <v>356</v>
      </c>
      <c r="O143" t="s">
        <v>356</v>
      </c>
      <c r="P143" t="s">
        <v>356</v>
      </c>
      <c r="Q143" t="s">
        <v>356</v>
      </c>
      <c r="R143" t="s">
        <v>356</v>
      </c>
      <c r="S143" t="str" cm="1">
        <f t="array" ref="S143">IFERROR(LOOKUP(2,1/(E143:R143&lt;&gt;".."),E143:R143)/100,"")</f>
        <v/>
      </c>
      <c r="T143" t="str" cm="1">
        <f t="array" ref="T143">IFERROR(--LEFT(LOOKUP(2,1/(E143:R143&lt;&gt;".."),E$1:R$1),4),"")</f>
        <v/>
      </c>
    </row>
    <row r="144" spans="1:20" x14ac:dyDescent="0.35">
      <c r="A144" t="s">
        <v>487</v>
      </c>
      <c r="B144" s="1" t="s">
        <v>242</v>
      </c>
      <c r="C144" t="s">
        <v>88</v>
      </c>
      <c r="D144" s="1" t="s">
        <v>318</v>
      </c>
      <c r="E144" t="s">
        <v>356</v>
      </c>
      <c r="F144" t="s">
        <v>356</v>
      </c>
      <c r="G144" t="s">
        <v>356</v>
      </c>
      <c r="H144" t="s">
        <v>356</v>
      </c>
      <c r="I144" t="s">
        <v>356</v>
      </c>
      <c r="J144" t="s">
        <v>356</v>
      </c>
      <c r="K144" t="s">
        <v>356</v>
      </c>
      <c r="L144" t="s">
        <v>356</v>
      </c>
      <c r="M144" t="s">
        <v>356</v>
      </c>
      <c r="N144" t="s">
        <v>356</v>
      </c>
      <c r="O144" t="s">
        <v>356</v>
      </c>
      <c r="P144" t="s">
        <v>356</v>
      </c>
      <c r="Q144" t="s">
        <v>356</v>
      </c>
      <c r="R144" t="s">
        <v>356</v>
      </c>
      <c r="S144" t="str" cm="1">
        <f t="array" ref="S144">IFERROR(LOOKUP(2,1/(E144:R144&lt;&gt;".."),E144:R144)/100,"")</f>
        <v/>
      </c>
      <c r="T144" t="str" cm="1">
        <f t="array" ref="T144">IFERROR(--LEFT(LOOKUP(2,1/(E144:R144&lt;&gt;".."),E$1:R$1),4),"")</f>
        <v/>
      </c>
    </row>
    <row r="145" spans="1:20" x14ac:dyDescent="0.35">
      <c r="A145" t="s">
        <v>93</v>
      </c>
      <c r="B145" s="1" t="s">
        <v>37</v>
      </c>
      <c r="C145" t="s">
        <v>88</v>
      </c>
      <c r="D145" s="1" t="s">
        <v>318</v>
      </c>
      <c r="E145">
        <v>24.89451</v>
      </c>
      <c r="F145" t="s">
        <v>356</v>
      </c>
      <c r="G145" t="s">
        <v>356</v>
      </c>
      <c r="H145" t="s">
        <v>356</v>
      </c>
      <c r="I145" t="s">
        <v>356</v>
      </c>
      <c r="J145" t="s">
        <v>356</v>
      </c>
      <c r="K145">
        <v>19.631900000000002</v>
      </c>
      <c r="L145" t="s">
        <v>356</v>
      </c>
      <c r="M145" t="s">
        <v>356</v>
      </c>
      <c r="N145" t="s">
        <v>356</v>
      </c>
      <c r="O145" t="s">
        <v>356</v>
      </c>
      <c r="P145" t="s">
        <v>356</v>
      </c>
      <c r="Q145" t="s">
        <v>356</v>
      </c>
      <c r="R145" t="s">
        <v>356</v>
      </c>
      <c r="S145" cm="1">
        <f t="array" ref="S145">IFERROR(LOOKUP(2,1/(E145:R145&lt;&gt;".."),E145:R145)/100,"")</f>
        <v>0.19631900000000002</v>
      </c>
      <c r="T145" cm="1">
        <f t="array" ref="T145">IFERROR(--LEFT(LOOKUP(2,1/(E145:R145&lt;&gt;".."),E$1:R$1),4),"")</f>
        <v>2018</v>
      </c>
    </row>
    <row r="146" spans="1:20" x14ac:dyDescent="0.35">
      <c r="A146" t="s">
        <v>448</v>
      </c>
      <c r="B146" s="1" t="s">
        <v>517</v>
      </c>
      <c r="C146" t="s">
        <v>88</v>
      </c>
      <c r="D146" s="1" t="s">
        <v>318</v>
      </c>
      <c r="E146">
        <v>23.386579999999999</v>
      </c>
      <c r="F146">
        <v>23.47383</v>
      </c>
      <c r="G146">
        <v>23.715669999999999</v>
      </c>
      <c r="H146">
        <v>23.102</v>
      </c>
      <c r="I146">
        <v>23.814979999999998</v>
      </c>
      <c r="J146">
        <v>25.66826</v>
      </c>
      <c r="K146">
        <v>26.822679999999998</v>
      </c>
      <c r="L146" t="s">
        <v>356</v>
      </c>
      <c r="M146" t="s">
        <v>356</v>
      </c>
      <c r="N146" t="s">
        <v>356</v>
      </c>
      <c r="O146" t="s">
        <v>356</v>
      </c>
      <c r="P146" t="s">
        <v>356</v>
      </c>
      <c r="Q146" t="s">
        <v>356</v>
      </c>
      <c r="R146" t="s">
        <v>356</v>
      </c>
      <c r="S146" cm="1">
        <f t="array" ref="S146">IFERROR(LOOKUP(2,1/(E146:R146&lt;&gt;".."),E146:R146)/100,"")</f>
        <v>0.26822679999999999</v>
      </c>
      <c r="T146" cm="1">
        <f t="array" ref="T146">IFERROR(--LEFT(LOOKUP(2,1/(E146:R146&lt;&gt;".."),E$1:R$1),4),"")</f>
        <v>2018</v>
      </c>
    </row>
    <row r="147" spans="1:20" x14ac:dyDescent="0.35">
      <c r="A147" t="s">
        <v>80</v>
      </c>
      <c r="B147" s="1" t="s">
        <v>346</v>
      </c>
      <c r="C147" t="s">
        <v>88</v>
      </c>
      <c r="D147" s="1" t="s">
        <v>318</v>
      </c>
      <c r="E147" t="s">
        <v>356</v>
      </c>
      <c r="F147" t="s">
        <v>356</v>
      </c>
      <c r="G147" t="s">
        <v>356</v>
      </c>
      <c r="H147" t="s">
        <v>356</v>
      </c>
      <c r="I147" t="s">
        <v>356</v>
      </c>
      <c r="J147" t="s">
        <v>356</v>
      </c>
      <c r="K147" t="s">
        <v>356</v>
      </c>
      <c r="L147" t="s">
        <v>356</v>
      </c>
      <c r="M147" t="s">
        <v>356</v>
      </c>
      <c r="N147" t="s">
        <v>356</v>
      </c>
      <c r="O147" t="s">
        <v>356</v>
      </c>
      <c r="P147" t="s">
        <v>356</v>
      </c>
      <c r="Q147" t="s">
        <v>356</v>
      </c>
      <c r="R147" t="s">
        <v>356</v>
      </c>
      <c r="S147" t="str" cm="1">
        <f t="array" ref="S147">IFERROR(LOOKUP(2,1/(E147:R147&lt;&gt;".."),E147:R147)/100,"")</f>
        <v/>
      </c>
      <c r="T147" t="str" cm="1">
        <f t="array" ref="T147">IFERROR(--LEFT(LOOKUP(2,1/(E147:R147&lt;&gt;".."),E$1:R$1),4),"")</f>
        <v/>
      </c>
    </row>
    <row r="148" spans="1:20" x14ac:dyDescent="0.35">
      <c r="A148" t="s">
        <v>451</v>
      </c>
      <c r="B148" s="1" t="s">
        <v>100</v>
      </c>
      <c r="C148" t="s">
        <v>88</v>
      </c>
      <c r="D148" s="1" t="s">
        <v>318</v>
      </c>
      <c r="E148" t="s">
        <v>356</v>
      </c>
      <c r="F148" t="s">
        <v>356</v>
      </c>
      <c r="G148" t="s">
        <v>356</v>
      </c>
      <c r="H148" t="s">
        <v>356</v>
      </c>
      <c r="I148" t="s">
        <v>356</v>
      </c>
      <c r="J148" t="s">
        <v>356</v>
      </c>
      <c r="K148" t="s">
        <v>356</v>
      </c>
      <c r="L148" t="s">
        <v>356</v>
      </c>
      <c r="M148" t="s">
        <v>356</v>
      </c>
      <c r="N148" t="s">
        <v>356</v>
      </c>
      <c r="O148" t="s">
        <v>356</v>
      </c>
      <c r="P148" t="s">
        <v>356</v>
      </c>
      <c r="Q148" t="s">
        <v>356</v>
      </c>
      <c r="R148" t="s">
        <v>356</v>
      </c>
      <c r="S148" t="str" cm="1">
        <f t="array" ref="S148">IFERROR(LOOKUP(2,1/(E148:R148&lt;&gt;".."),E148:R148)/100,"")</f>
        <v/>
      </c>
      <c r="T148" t="str" cm="1">
        <f t="array" ref="T148">IFERROR(--LEFT(LOOKUP(2,1/(E148:R148&lt;&gt;".."),E$1:R$1),4),"")</f>
        <v/>
      </c>
    </row>
    <row r="149" spans="1:20" x14ac:dyDescent="0.35">
      <c r="A149" t="s">
        <v>432</v>
      </c>
      <c r="B149" s="1" t="s">
        <v>379</v>
      </c>
      <c r="C149" t="s">
        <v>88</v>
      </c>
      <c r="D149" s="1" t="s">
        <v>318</v>
      </c>
      <c r="E149" t="s">
        <v>356</v>
      </c>
      <c r="F149" t="s">
        <v>356</v>
      </c>
      <c r="G149" t="s">
        <v>356</v>
      </c>
      <c r="H149" t="s">
        <v>356</v>
      </c>
      <c r="I149" t="s">
        <v>356</v>
      </c>
      <c r="J149" t="s">
        <v>356</v>
      </c>
      <c r="K149" t="s">
        <v>356</v>
      </c>
      <c r="L149" t="s">
        <v>356</v>
      </c>
      <c r="M149" t="s">
        <v>356</v>
      </c>
      <c r="N149" t="s">
        <v>356</v>
      </c>
      <c r="O149" t="s">
        <v>356</v>
      </c>
      <c r="P149" t="s">
        <v>356</v>
      </c>
      <c r="Q149" t="s">
        <v>356</v>
      </c>
      <c r="R149" t="s">
        <v>356</v>
      </c>
      <c r="S149" t="str" cm="1">
        <f t="array" ref="S149">IFERROR(LOOKUP(2,1/(E149:R149&lt;&gt;".."),E149:R149)/100,"")</f>
        <v/>
      </c>
      <c r="T149" t="str" cm="1">
        <f t="array" ref="T149">IFERROR(--LEFT(LOOKUP(2,1/(E149:R149&lt;&gt;".."),E$1:R$1),4),"")</f>
        <v/>
      </c>
    </row>
    <row r="150" spans="1:20" x14ac:dyDescent="0.35">
      <c r="A150" t="s">
        <v>232</v>
      </c>
      <c r="B150" s="1" t="s">
        <v>442</v>
      </c>
      <c r="C150" t="s">
        <v>88</v>
      </c>
      <c r="D150" s="1" t="s">
        <v>318</v>
      </c>
      <c r="E150">
        <v>14.74011</v>
      </c>
      <c r="F150">
        <v>16.252389999999998</v>
      </c>
      <c r="G150">
        <v>13.91446</v>
      </c>
      <c r="H150">
        <v>13.82668</v>
      </c>
      <c r="I150">
        <v>17.89536</v>
      </c>
      <c r="J150" t="s">
        <v>356</v>
      </c>
      <c r="K150">
        <v>18.824870000000001</v>
      </c>
      <c r="L150" t="s">
        <v>356</v>
      </c>
      <c r="M150" t="s">
        <v>356</v>
      </c>
      <c r="N150" t="s">
        <v>356</v>
      </c>
      <c r="O150" t="s">
        <v>356</v>
      </c>
      <c r="P150" t="s">
        <v>356</v>
      </c>
      <c r="Q150" t="s">
        <v>356</v>
      </c>
      <c r="R150" t="s">
        <v>356</v>
      </c>
      <c r="S150" cm="1">
        <f t="array" ref="S150">IFERROR(LOOKUP(2,1/(E150:R150&lt;&gt;".."),E150:R150)/100,"")</f>
        <v>0.18824870000000002</v>
      </c>
      <c r="T150" cm="1">
        <f t="array" ref="T150">IFERROR(--LEFT(LOOKUP(2,1/(E150:R150&lt;&gt;".."),E$1:R$1),4),"")</f>
        <v>2018</v>
      </c>
    </row>
    <row r="151" spans="1:20" x14ac:dyDescent="0.35">
      <c r="A151" t="s">
        <v>18</v>
      </c>
      <c r="B151" s="1" t="s">
        <v>357</v>
      </c>
      <c r="C151" t="s">
        <v>88</v>
      </c>
      <c r="D151" s="1" t="s">
        <v>318</v>
      </c>
      <c r="E151">
        <v>5.4241799999999998</v>
      </c>
      <c r="F151" t="s">
        <v>356</v>
      </c>
      <c r="G151" t="s">
        <v>356</v>
      </c>
      <c r="H151">
        <v>7.1021900000000002</v>
      </c>
      <c r="I151">
        <v>6.0340100000000003</v>
      </c>
      <c r="J151">
        <v>7.5661399999999999</v>
      </c>
      <c r="K151">
        <v>7.6600599999999996</v>
      </c>
      <c r="L151">
        <v>7.5674999999999999</v>
      </c>
      <c r="M151" t="s">
        <v>356</v>
      </c>
      <c r="N151" t="s">
        <v>356</v>
      </c>
      <c r="O151" t="s">
        <v>356</v>
      </c>
      <c r="P151" t="s">
        <v>356</v>
      </c>
      <c r="Q151" t="s">
        <v>356</v>
      </c>
      <c r="R151" t="s">
        <v>356</v>
      </c>
      <c r="S151" cm="1">
        <f t="array" ref="S151">IFERROR(LOOKUP(2,1/(E151:R151&lt;&gt;".."),E151:R151)/100,"")</f>
        <v>7.5674999999999992E-2</v>
      </c>
      <c r="T151" cm="1">
        <f t="array" ref="T151">IFERROR(--LEFT(LOOKUP(2,1/(E151:R151&lt;&gt;".."),E$1:R$1),4),"")</f>
        <v>2019</v>
      </c>
    </row>
    <row r="152" spans="1:20" x14ac:dyDescent="0.35">
      <c r="A152" t="s">
        <v>543</v>
      </c>
      <c r="B152" s="1" t="s">
        <v>142</v>
      </c>
      <c r="C152" t="s">
        <v>88</v>
      </c>
      <c r="D152" s="1" t="s">
        <v>318</v>
      </c>
      <c r="E152" t="s">
        <v>356</v>
      </c>
      <c r="F152" t="s">
        <v>356</v>
      </c>
      <c r="G152">
        <v>22.538329999999998</v>
      </c>
      <c r="H152">
        <v>25.532240000000002</v>
      </c>
      <c r="I152">
        <v>23.241109999999999</v>
      </c>
      <c r="J152">
        <v>22.962119999999999</v>
      </c>
      <c r="K152">
        <v>23.84168</v>
      </c>
      <c r="L152" t="s">
        <v>356</v>
      </c>
      <c r="M152" t="s">
        <v>356</v>
      </c>
      <c r="N152" t="s">
        <v>356</v>
      </c>
      <c r="O152" t="s">
        <v>356</v>
      </c>
      <c r="P152" t="s">
        <v>356</v>
      </c>
      <c r="Q152" t="s">
        <v>356</v>
      </c>
      <c r="R152" t="s">
        <v>356</v>
      </c>
      <c r="S152" cm="1">
        <f t="array" ref="S152">IFERROR(LOOKUP(2,1/(E152:R152&lt;&gt;".."),E152:R152)/100,"")</f>
        <v>0.23841680000000001</v>
      </c>
      <c r="T152" cm="1">
        <f t="array" ref="T152">IFERROR(--LEFT(LOOKUP(2,1/(E152:R152&lt;&gt;".."),E$1:R$1),4),"")</f>
        <v>2018</v>
      </c>
    </row>
    <row r="153" spans="1:20" x14ac:dyDescent="0.35">
      <c r="A153" t="s">
        <v>495</v>
      </c>
      <c r="B153" s="1" t="s">
        <v>124</v>
      </c>
      <c r="C153" t="s">
        <v>88</v>
      </c>
      <c r="D153" s="1" t="s">
        <v>318</v>
      </c>
      <c r="E153" t="s">
        <v>356</v>
      </c>
      <c r="F153" t="s">
        <v>356</v>
      </c>
      <c r="G153" t="s">
        <v>356</v>
      </c>
      <c r="H153" t="s">
        <v>356</v>
      </c>
      <c r="I153" t="s">
        <v>356</v>
      </c>
      <c r="J153" t="s">
        <v>356</v>
      </c>
      <c r="K153" t="s">
        <v>356</v>
      </c>
      <c r="L153" t="s">
        <v>356</v>
      </c>
      <c r="M153" t="s">
        <v>356</v>
      </c>
      <c r="N153" t="s">
        <v>356</v>
      </c>
      <c r="O153" t="s">
        <v>356</v>
      </c>
      <c r="P153" t="s">
        <v>356</v>
      </c>
      <c r="Q153" t="s">
        <v>356</v>
      </c>
      <c r="R153" t="s">
        <v>356</v>
      </c>
      <c r="S153" t="str" cm="1">
        <f t="array" ref="S153">IFERROR(LOOKUP(2,1/(E153:R153&lt;&gt;".."),E153:R153)/100,"")</f>
        <v/>
      </c>
      <c r="T153" t="str" cm="1">
        <f t="array" ref="T153">IFERROR(--LEFT(LOOKUP(2,1/(E153:R153&lt;&gt;".."),E$1:R$1),4),"")</f>
        <v/>
      </c>
    </row>
    <row r="154" spans="1:20" x14ac:dyDescent="0.35">
      <c r="A154" t="s">
        <v>274</v>
      </c>
      <c r="B154" s="1" t="s">
        <v>567</v>
      </c>
      <c r="C154" t="s">
        <v>88</v>
      </c>
      <c r="D154" s="1" t="s">
        <v>318</v>
      </c>
      <c r="E154">
        <v>31.631779999999999</v>
      </c>
      <c r="F154" t="s">
        <v>356</v>
      </c>
      <c r="G154" t="s">
        <v>356</v>
      </c>
      <c r="H154" t="s">
        <v>356</v>
      </c>
      <c r="I154" t="s">
        <v>356</v>
      </c>
      <c r="J154" t="s">
        <v>356</v>
      </c>
      <c r="K154">
        <v>40.773299999999999</v>
      </c>
      <c r="L154">
        <v>39.173650000000002</v>
      </c>
      <c r="M154" t="s">
        <v>356</v>
      </c>
      <c r="N154" t="s">
        <v>356</v>
      </c>
      <c r="O154" t="s">
        <v>356</v>
      </c>
      <c r="P154" t="s">
        <v>356</v>
      </c>
      <c r="Q154" t="s">
        <v>356</v>
      </c>
      <c r="R154" t="s">
        <v>356</v>
      </c>
      <c r="S154" cm="1">
        <f t="array" ref="S154">IFERROR(LOOKUP(2,1/(E154:R154&lt;&gt;".."),E154:R154)/100,"")</f>
        <v>0.39173650000000004</v>
      </c>
      <c r="T154" cm="1">
        <f t="array" ref="T154">IFERROR(--LEFT(LOOKUP(2,1/(E154:R154&lt;&gt;".."),E$1:R$1),4),"")</f>
        <v>2019</v>
      </c>
    </row>
    <row r="155" spans="1:20" x14ac:dyDescent="0.35">
      <c r="A155" t="s">
        <v>336</v>
      </c>
      <c r="B155" s="1" t="s">
        <v>81</v>
      </c>
      <c r="C155" t="s">
        <v>88</v>
      </c>
      <c r="D155" s="1" t="s">
        <v>318</v>
      </c>
      <c r="E155" t="s">
        <v>356</v>
      </c>
      <c r="F155" t="s">
        <v>356</v>
      </c>
      <c r="G155" t="s">
        <v>356</v>
      </c>
      <c r="H155" t="s">
        <v>356</v>
      </c>
      <c r="I155" t="s">
        <v>356</v>
      </c>
      <c r="J155">
        <v>5.1115899999999996</v>
      </c>
      <c r="K155" t="s">
        <v>356</v>
      </c>
      <c r="L155" t="s">
        <v>356</v>
      </c>
      <c r="M155" t="s">
        <v>356</v>
      </c>
      <c r="N155" t="s">
        <v>356</v>
      </c>
      <c r="O155" t="s">
        <v>356</v>
      </c>
      <c r="P155" t="s">
        <v>356</v>
      </c>
      <c r="Q155" t="s">
        <v>356</v>
      </c>
      <c r="R155" t="s">
        <v>356</v>
      </c>
      <c r="S155" cm="1">
        <f t="array" ref="S155">IFERROR(LOOKUP(2,1/(E155:R155&lt;&gt;".."),E155:R155)/100,"")</f>
        <v>5.1115899999999999E-2</v>
      </c>
      <c r="T155" cm="1">
        <f t="array" ref="T155">IFERROR(--LEFT(LOOKUP(2,1/(E155:R155&lt;&gt;".."),E$1:R$1),4),"")</f>
        <v>2017</v>
      </c>
    </row>
    <row r="156" spans="1:20" x14ac:dyDescent="0.35">
      <c r="A156" t="s">
        <v>320</v>
      </c>
      <c r="B156" s="1" t="s">
        <v>28</v>
      </c>
      <c r="C156" t="s">
        <v>88</v>
      </c>
      <c r="D156" s="1" t="s">
        <v>318</v>
      </c>
      <c r="E156" t="s">
        <v>356</v>
      </c>
      <c r="F156" t="s">
        <v>356</v>
      </c>
      <c r="G156" t="s">
        <v>356</v>
      </c>
      <c r="H156" t="s">
        <v>356</v>
      </c>
      <c r="I156" t="s">
        <v>356</v>
      </c>
      <c r="J156" t="s">
        <v>356</v>
      </c>
      <c r="K156" t="s">
        <v>356</v>
      </c>
      <c r="L156" t="s">
        <v>356</v>
      </c>
      <c r="M156" t="s">
        <v>356</v>
      </c>
      <c r="N156" t="s">
        <v>356</v>
      </c>
      <c r="O156" t="s">
        <v>356</v>
      </c>
      <c r="P156" t="s">
        <v>356</v>
      </c>
      <c r="Q156" t="s">
        <v>356</v>
      </c>
      <c r="R156" t="s">
        <v>356</v>
      </c>
      <c r="S156" t="str" cm="1">
        <f t="array" ref="S156">IFERROR(LOOKUP(2,1/(E156:R156&lt;&gt;".."),E156:R156)/100,"")</f>
        <v/>
      </c>
      <c r="T156" t="str" cm="1">
        <f t="array" ref="T156">IFERROR(--LEFT(LOOKUP(2,1/(E156:R156&lt;&gt;".."),E$1:R$1),4),"")</f>
        <v/>
      </c>
    </row>
    <row r="157" spans="1:20" x14ac:dyDescent="0.35">
      <c r="A157" t="s">
        <v>245</v>
      </c>
      <c r="B157" s="1" t="s">
        <v>95</v>
      </c>
      <c r="C157" t="s">
        <v>88</v>
      </c>
      <c r="D157" s="1" t="s">
        <v>318</v>
      </c>
      <c r="E157" t="s">
        <v>356</v>
      </c>
      <c r="F157">
        <v>25.295819999999999</v>
      </c>
      <c r="G157">
        <v>24.898060000000001</v>
      </c>
      <c r="H157">
        <v>24.7913</v>
      </c>
      <c r="I157">
        <v>18.028739999999999</v>
      </c>
      <c r="J157">
        <v>20.305679999999999</v>
      </c>
      <c r="K157" t="s">
        <v>356</v>
      </c>
      <c r="L157" t="s">
        <v>356</v>
      </c>
      <c r="M157" t="s">
        <v>356</v>
      </c>
      <c r="N157" t="s">
        <v>356</v>
      </c>
      <c r="O157" t="s">
        <v>356</v>
      </c>
      <c r="P157" t="s">
        <v>356</v>
      </c>
      <c r="Q157" t="s">
        <v>356</v>
      </c>
      <c r="R157" t="s">
        <v>356</v>
      </c>
      <c r="S157" cm="1">
        <f t="array" ref="S157">IFERROR(LOOKUP(2,1/(E157:R157&lt;&gt;".."),E157:R157)/100,"")</f>
        <v>0.20305679999999998</v>
      </c>
      <c r="T157" cm="1">
        <f t="array" ref="T157">IFERROR(--LEFT(LOOKUP(2,1/(E157:R157&lt;&gt;".."),E$1:R$1),4),"")</f>
        <v>2017</v>
      </c>
    </row>
    <row r="158" spans="1:20" x14ac:dyDescent="0.35">
      <c r="A158" t="s">
        <v>84</v>
      </c>
      <c r="B158" s="1" t="s">
        <v>518</v>
      </c>
      <c r="C158" t="s">
        <v>88</v>
      </c>
      <c r="D158" s="1" t="s">
        <v>318</v>
      </c>
      <c r="E158" t="s">
        <v>356</v>
      </c>
      <c r="F158" t="s">
        <v>356</v>
      </c>
      <c r="G158" t="s">
        <v>356</v>
      </c>
      <c r="H158" t="s">
        <v>356</v>
      </c>
      <c r="I158" t="s">
        <v>356</v>
      </c>
      <c r="J158" t="s">
        <v>356</v>
      </c>
      <c r="K158" t="s">
        <v>356</v>
      </c>
      <c r="L158">
        <v>0</v>
      </c>
      <c r="M158" t="s">
        <v>356</v>
      </c>
      <c r="N158" t="s">
        <v>356</v>
      </c>
      <c r="O158" t="s">
        <v>356</v>
      </c>
      <c r="P158" t="s">
        <v>356</v>
      </c>
      <c r="Q158" t="s">
        <v>356</v>
      </c>
      <c r="R158" t="s">
        <v>356</v>
      </c>
      <c r="S158" cm="1">
        <f t="array" ref="S158">IFERROR(LOOKUP(2,1/(E158:R158&lt;&gt;".."),E158:R158)/100,"")</f>
        <v>0</v>
      </c>
      <c r="T158" cm="1">
        <f t="array" ref="T158">IFERROR(--LEFT(LOOKUP(2,1/(E158:R158&lt;&gt;".."),E$1:R$1),4),"")</f>
        <v>2019</v>
      </c>
    </row>
    <row r="159" spans="1:20" x14ac:dyDescent="0.35">
      <c r="A159" t="s">
        <v>337</v>
      </c>
      <c r="B159" s="1" t="s">
        <v>11</v>
      </c>
      <c r="C159" t="s">
        <v>88</v>
      </c>
      <c r="D159" s="1" t="s">
        <v>318</v>
      </c>
      <c r="E159" t="s">
        <v>356</v>
      </c>
      <c r="F159" t="s">
        <v>356</v>
      </c>
      <c r="G159" t="s">
        <v>356</v>
      </c>
      <c r="H159" t="s">
        <v>356</v>
      </c>
      <c r="I159">
        <v>20.230640000000001</v>
      </c>
      <c r="J159">
        <v>30.1813</v>
      </c>
      <c r="K159" t="s">
        <v>356</v>
      </c>
      <c r="L159" t="s">
        <v>356</v>
      </c>
      <c r="M159" t="s">
        <v>356</v>
      </c>
      <c r="N159" t="s">
        <v>356</v>
      </c>
      <c r="O159" t="s">
        <v>356</v>
      </c>
      <c r="P159" t="s">
        <v>356</v>
      </c>
      <c r="Q159" t="s">
        <v>356</v>
      </c>
      <c r="R159" t="s">
        <v>356</v>
      </c>
      <c r="S159" cm="1">
        <f t="array" ref="S159">IFERROR(LOOKUP(2,1/(E159:R159&lt;&gt;".."),E159:R159)/100,"")</f>
        <v>0.301813</v>
      </c>
      <c r="T159" cm="1">
        <f t="array" ref="T159">IFERROR(--LEFT(LOOKUP(2,1/(E159:R159&lt;&gt;".."),E$1:R$1),4),"")</f>
        <v>2017</v>
      </c>
    </row>
    <row r="160" spans="1:20" x14ac:dyDescent="0.35">
      <c r="A160" t="s">
        <v>539</v>
      </c>
      <c r="B160" s="1" t="s">
        <v>316</v>
      </c>
      <c r="C160" t="s">
        <v>88</v>
      </c>
      <c r="D160" s="1" t="s">
        <v>318</v>
      </c>
      <c r="E160" t="s">
        <v>356</v>
      </c>
      <c r="F160" t="s">
        <v>356</v>
      </c>
      <c r="G160" t="s">
        <v>356</v>
      </c>
      <c r="H160" t="s">
        <v>356</v>
      </c>
      <c r="I160" t="s">
        <v>356</v>
      </c>
      <c r="J160">
        <v>23.31118</v>
      </c>
      <c r="K160" t="s">
        <v>356</v>
      </c>
      <c r="L160" t="s">
        <v>356</v>
      </c>
      <c r="M160" t="s">
        <v>356</v>
      </c>
      <c r="N160" t="s">
        <v>356</v>
      </c>
      <c r="O160" t="s">
        <v>356</v>
      </c>
      <c r="P160" t="s">
        <v>356</v>
      </c>
      <c r="Q160" t="s">
        <v>356</v>
      </c>
      <c r="R160" t="s">
        <v>356</v>
      </c>
      <c r="S160" cm="1">
        <f t="array" ref="S160">IFERROR(LOOKUP(2,1/(E160:R160&lt;&gt;".."),E160:R160)/100,"")</f>
        <v>0.23311180000000001</v>
      </c>
      <c r="T160" cm="1">
        <f t="array" ref="T160">IFERROR(--LEFT(LOOKUP(2,1/(E160:R160&lt;&gt;".."),E$1:R$1),4),"")</f>
        <v>2017</v>
      </c>
    </row>
    <row r="161" spans="1:20" x14ac:dyDescent="0.35">
      <c r="A161" t="s">
        <v>478</v>
      </c>
      <c r="B161" s="1" t="s">
        <v>443</v>
      </c>
      <c r="C161" t="s">
        <v>88</v>
      </c>
      <c r="D161" s="1" t="s">
        <v>318</v>
      </c>
      <c r="E161" t="s">
        <v>356</v>
      </c>
      <c r="F161" t="s">
        <v>356</v>
      </c>
      <c r="G161" t="s">
        <v>356</v>
      </c>
      <c r="H161" t="s">
        <v>356</v>
      </c>
      <c r="I161" t="s">
        <v>356</v>
      </c>
      <c r="J161" t="s">
        <v>356</v>
      </c>
      <c r="K161" t="s">
        <v>356</v>
      </c>
      <c r="L161" t="s">
        <v>356</v>
      </c>
      <c r="M161" t="s">
        <v>356</v>
      </c>
      <c r="N161" t="s">
        <v>356</v>
      </c>
      <c r="O161" t="s">
        <v>356</v>
      </c>
      <c r="P161" t="s">
        <v>356</v>
      </c>
      <c r="Q161" t="s">
        <v>356</v>
      </c>
      <c r="R161" t="s">
        <v>356</v>
      </c>
      <c r="S161" t="str" cm="1">
        <f t="array" ref="S161">IFERROR(LOOKUP(2,1/(E161:R161&lt;&gt;".."),E161:R161)/100,"")</f>
        <v/>
      </c>
      <c r="T161" t="str" cm="1">
        <f t="array" ref="T161">IFERROR(--LEFT(LOOKUP(2,1/(E161:R161&lt;&gt;".."),E$1:R$1),4),"")</f>
        <v/>
      </c>
    </row>
    <row r="162" spans="1:20" x14ac:dyDescent="0.35">
      <c r="A162" t="s">
        <v>540</v>
      </c>
      <c r="B162" s="1" t="s">
        <v>507</v>
      </c>
      <c r="C162" t="s">
        <v>88</v>
      </c>
      <c r="D162" s="1" t="s">
        <v>318</v>
      </c>
      <c r="E162" t="s">
        <v>356</v>
      </c>
      <c r="F162">
        <v>27.489519999999999</v>
      </c>
      <c r="G162">
        <v>28.096530000000001</v>
      </c>
      <c r="H162">
        <v>27.897310000000001</v>
      </c>
      <c r="I162">
        <v>25.482859999999999</v>
      </c>
      <c r="J162">
        <v>25.239139999999999</v>
      </c>
      <c r="K162" t="s">
        <v>356</v>
      </c>
      <c r="L162" t="s">
        <v>356</v>
      </c>
      <c r="M162" t="s">
        <v>356</v>
      </c>
      <c r="N162" t="s">
        <v>356</v>
      </c>
      <c r="O162" t="s">
        <v>356</v>
      </c>
      <c r="P162" t="s">
        <v>356</v>
      </c>
      <c r="Q162" t="s">
        <v>356</v>
      </c>
      <c r="R162" t="s">
        <v>356</v>
      </c>
      <c r="S162" cm="1">
        <f t="array" ref="S162">IFERROR(LOOKUP(2,1/(E162:R162&lt;&gt;".."),E162:R162)/100,"")</f>
        <v>0.25239139999999999</v>
      </c>
      <c r="T162" cm="1">
        <f t="array" ref="T162">IFERROR(--LEFT(LOOKUP(2,1/(E162:R162&lt;&gt;".."),E$1:R$1),4),"")</f>
        <v>2017</v>
      </c>
    </row>
    <row r="163" spans="1:20" x14ac:dyDescent="0.35">
      <c r="A163" t="s">
        <v>284</v>
      </c>
      <c r="B163" s="1" t="s">
        <v>565</v>
      </c>
      <c r="C163" t="s">
        <v>88</v>
      </c>
      <c r="D163" s="1" t="s">
        <v>318</v>
      </c>
      <c r="E163" t="s">
        <v>356</v>
      </c>
      <c r="F163" t="s">
        <v>356</v>
      </c>
      <c r="G163" t="s">
        <v>356</v>
      </c>
      <c r="H163" t="s">
        <v>356</v>
      </c>
      <c r="I163" t="s">
        <v>356</v>
      </c>
      <c r="J163" t="s">
        <v>356</v>
      </c>
      <c r="K163" t="s">
        <v>356</v>
      </c>
      <c r="L163" t="s">
        <v>356</v>
      </c>
      <c r="M163" t="s">
        <v>356</v>
      </c>
      <c r="N163" t="s">
        <v>356</v>
      </c>
      <c r="O163" t="s">
        <v>356</v>
      </c>
      <c r="P163" t="s">
        <v>356</v>
      </c>
      <c r="Q163" t="s">
        <v>356</v>
      </c>
      <c r="R163" t="s">
        <v>356</v>
      </c>
      <c r="S163" t="str" cm="1">
        <f t="array" ref="S163">IFERROR(LOOKUP(2,1/(E163:R163&lt;&gt;".."),E163:R163)/100,"")</f>
        <v/>
      </c>
      <c r="T163" t="str" cm="1">
        <f t="array" ref="T163">IFERROR(--LEFT(LOOKUP(2,1/(E163:R163&lt;&gt;".."),E$1:R$1),4),"")</f>
        <v/>
      </c>
    </row>
    <row r="164" spans="1:20" x14ac:dyDescent="0.35">
      <c r="A164" t="s">
        <v>257</v>
      </c>
      <c r="B164" s="1" t="s">
        <v>89</v>
      </c>
      <c r="C164" t="s">
        <v>88</v>
      </c>
      <c r="D164" s="1" t="s">
        <v>318</v>
      </c>
      <c r="E164" t="s">
        <v>356</v>
      </c>
      <c r="F164" t="s">
        <v>356</v>
      </c>
      <c r="G164" t="s">
        <v>356</v>
      </c>
      <c r="H164" t="s">
        <v>356</v>
      </c>
      <c r="I164" t="s">
        <v>356</v>
      </c>
      <c r="J164" t="s">
        <v>356</v>
      </c>
      <c r="K164" t="s">
        <v>356</v>
      </c>
      <c r="L164" t="s">
        <v>356</v>
      </c>
      <c r="M164" t="s">
        <v>356</v>
      </c>
      <c r="N164" t="s">
        <v>356</v>
      </c>
      <c r="O164" t="s">
        <v>356</v>
      </c>
      <c r="P164" t="s">
        <v>356</v>
      </c>
      <c r="Q164" t="s">
        <v>356</v>
      </c>
      <c r="R164" t="s">
        <v>356</v>
      </c>
      <c r="S164" t="str" cm="1">
        <f t="array" ref="S164">IFERROR(LOOKUP(2,1/(E164:R164&lt;&gt;".."),E164:R164)/100,"")</f>
        <v/>
      </c>
      <c r="T164" t="str" cm="1">
        <f t="array" ref="T164">IFERROR(--LEFT(LOOKUP(2,1/(E164:R164&lt;&gt;".."),E$1:R$1),4),"")</f>
        <v/>
      </c>
    </row>
    <row r="165" spans="1:20" x14ac:dyDescent="0.35">
      <c r="A165" t="s">
        <v>302</v>
      </c>
      <c r="B165" s="1" t="s">
        <v>157</v>
      </c>
      <c r="C165" t="s">
        <v>88</v>
      </c>
      <c r="D165" s="1" t="s">
        <v>318</v>
      </c>
      <c r="E165" t="s">
        <v>356</v>
      </c>
      <c r="F165" t="s">
        <v>356</v>
      </c>
      <c r="G165" t="s">
        <v>356</v>
      </c>
      <c r="H165" t="s">
        <v>356</v>
      </c>
      <c r="I165" t="s">
        <v>356</v>
      </c>
      <c r="J165" t="s">
        <v>356</v>
      </c>
      <c r="K165" t="s">
        <v>356</v>
      </c>
      <c r="L165" t="s">
        <v>356</v>
      </c>
      <c r="M165" t="s">
        <v>356</v>
      </c>
      <c r="N165" t="s">
        <v>356</v>
      </c>
      <c r="O165" t="s">
        <v>356</v>
      </c>
      <c r="P165" t="s">
        <v>356</v>
      </c>
      <c r="Q165" t="s">
        <v>356</v>
      </c>
      <c r="R165" t="s">
        <v>356</v>
      </c>
      <c r="S165" t="str" cm="1">
        <f t="array" ref="S165">IFERROR(LOOKUP(2,1/(E165:R165&lt;&gt;".."),E165:R165)/100,"")</f>
        <v/>
      </c>
      <c r="T165" t="str" cm="1">
        <f t="array" ref="T165">IFERROR(--LEFT(LOOKUP(2,1/(E165:R165&lt;&gt;".."),E$1:R$1),4),"")</f>
        <v/>
      </c>
    </row>
    <row r="166" spans="1:20" x14ac:dyDescent="0.35">
      <c r="A166" t="s">
        <v>415</v>
      </c>
      <c r="B166" s="1" t="s">
        <v>148</v>
      </c>
      <c r="C166" t="s">
        <v>88</v>
      </c>
      <c r="D166" s="1" t="s">
        <v>318</v>
      </c>
      <c r="E166" t="s">
        <v>356</v>
      </c>
      <c r="F166" t="s">
        <v>356</v>
      </c>
      <c r="G166" t="s">
        <v>356</v>
      </c>
      <c r="H166" t="s">
        <v>356</v>
      </c>
      <c r="I166" t="s">
        <v>356</v>
      </c>
      <c r="J166" t="s">
        <v>356</v>
      </c>
      <c r="K166" t="s">
        <v>356</v>
      </c>
      <c r="L166" t="s">
        <v>356</v>
      </c>
      <c r="M166" t="s">
        <v>356</v>
      </c>
      <c r="N166" t="s">
        <v>356</v>
      </c>
      <c r="O166" t="s">
        <v>356</v>
      </c>
      <c r="P166" t="s">
        <v>356</v>
      </c>
      <c r="Q166" t="s">
        <v>356</v>
      </c>
      <c r="R166" t="s">
        <v>356</v>
      </c>
      <c r="S166" t="str" cm="1">
        <f t="array" ref="S166">IFERROR(LOOKUP(2,1/(E166:R166&lt;&gt;".."),E166:R166)/100,"")</f>
        <v/>
      </c>
      <c r="T166" t="str" cm="1">
        <f t="array" ref="T166">IFERROR(--LEFT(LOOKUP(2,1/(E166:R166&lt;&gt;".."),E$1:R$1),4),"")</f>
        <v/>
      </c>
    </row>
    <row r="167" spans="1:20" x14ac:dyDescent="0.35">
      <c r="A167" t="s">
        <v>38</v>
      </c>
      <c r="B167" s="1" t="s">
        <v>296</v>
      </c>
      <c r="C167" t="s">
        <v>88</v>
      </c>
      <c r="D167" s="1" t="s">
        <v>318</v>
      </c>
      <c r="E167" t="s">
        <v>356</v>
      </c>
      <c r="F167" t="s">
        <v>356</v>
      </c>
      <c r="G167" t="s">
        <v>356</v>
      </c>
      <c r="H167" t="s">
        <v>356</v>
      </c>
      <c r="I167" t="s">
        <v>356</v>
      </c>
      <c r="J167" t="s">
        <v>356</v>
      </c>
      <c r="K167" t="s">
        <v>356</v>
      </c>
      <c r="L167" t="s">
        <v>356</v>
      </c>
      <c r="M167" t="s">
        <v>356</v>
      </c>
      <c r="N167" t="s">
        <v>356</v>
      </c>
      <c r="O167" t="s">
        <v>356</v>
      </c>
      <c r="P167" t="s">
        <v>356</v>
      </c>
      <c r="Q167" t="s">
        <v>356</v>
      </c>
      <c r="R167" t="s">
        <v>356</v>
      </c>
      <c r="S167" t="str" cm="1">
        <f t="array" ref="S167">IFERROR(LOOKUP(2,1/(E167:R167&lt;&gt;".."),E167:R167)/100,"")</f>
        <v/>
      </c>
      <c r="T167" t="str" cm="1">
        <f t="array" ref="T167">IFERROR(--LEFT(LOOKUP(2,1/(E167:R167&lt;&gt;".."),E$1:R$1),4),"")</f>
        <v/>
      </c>
    </row>
    <row r="168" spans="1:20" x14ac:dyDescent="0.35">
      <c r="A168" t="s">
        <v>184</v>
      </c>
      <c r="B168" s="1" t="s">
        <v>549</v>
      </c>
      <c r="C168" t="s">
        <v>88</v>
      </c>
      <c r="D168" s="1" t="s">
        <v>318</v>
      </c>
      <c r="E168" t="s">
        <v>356</v>
      </c>
      <c r="F168" t="s">
        <v>356</v>
      </c>
      <c r="G168">
        <v>24.95824</v>
      </c>
      <c r="H168">
        <v>22.308399999999999</v>
      </c>
      <c r="I168" t="s">
        <v>356</v>
      </c>
      <c r="J168" t="s">
        <v>356</v>
      </c>
      <c r="K168">
        <v>23.476109999999998</v>
      </c>
      <c r="L168">
        <v>24.760570000000001</v>
      </c>
      <c r="M168" t="s">
        <v>356</v>
      </c>
      <c r="N168" t="s">
        <v>356</v>
      </c>
      <c r="O168" t="s">
        <v>356</v>
      </c>
      <c r="P168" t="s">
        <v>356</v>
      </c>
      <c r="Q168" t="s">
        <v>356</v>
      </c>
      <c r="R168" t="s">
        <v>356</v>
      </c>
      <c r="S168" cm="1">
        <f t="array" ref="S168">IFERROR(LOOKUP(2,1/(E168:R168&lt;&gt;".."),E168:R168)/100,"")</f>
        <v>0.24760570000000001</v>
      </c>
      <c r="T168" cm="1">
        <f t="array" ref="T168">IFERROR(--LEFT(LOOKUP(2,1/(E168:R168&lt;&gt;".."),E$1:R$1),4),"")</f>
        <v>2019</v>
      </c>
    </row>
    <row r="169" spans="1:20" x14ac:dyDescent="0.35">
      <c r="A169" t="s">
        <v>329</v>
      </c>
      <c r="B169" s="1" t="s">
        <v>508</v>
      </c>
      <c r="C169" t="s">
        <v>88</v>
      </c>
      <c r="D169" s="1" t="s">
        <v>318</v>
      </c>
      <c r="E169" t="s">
        <v>356</v>
      </c>
      <c r="F169" t="s">
        <v>356</v>
      </c>
      <c r="G169" t="s">
        <v>356</v>
      </c>
      <c r="H169" t="s">
        <v>356</v>
      </c>
      <c r="I169">
        <v>0</v>
      </c>
      <c r="J169">
        <v>0</v>
      </c>
      <c r="K169">
        <v>0</v>
      </c>
      <c r="L169">
        <v>0</v>
      </c>
      <c r="M169">
        <v>0</v>
      </c>
      <c r="N169" t="s">
        <v>356</v>
      </c>
      <c r="O169" t="s">
        <v>356</v>
      </c>
      <c r="P169" t="s">
        <v>356</v>
      </c>
      <c r="Q169" t="s">
        <v>356</v>
      </c>
      <c r="R169" t="s">
        <v>356</v>
      </c>
      <c r="S169" cm="1">
        <f t="array" ref="S169">IFERROR(LOOKUP(2,1/(E169:R169&lt;&gt;".."),E169:R169)/100,"")</f>
        <v>0</v>
      </c>
      <c r="T169" cm="1">
        <f t="array" ref="T169">IFERROR(--LEFT(LOOKUP(2,1/(E169:R169&lt;&gt;".."),E$1:R$1),4),"")</f>
        <v>2020</v>
      </c>
    </row>
    <row r="170" spans="1:20" x14ac:dyDescent="0.35">
      <c r="A170" t="s">
        <v>134</v>
      </c>
      <c r="B170" s="1" t="s">
        <v>348</v>
      </c>
      <c r="C170" t="s">
        <v>88</v>
      </c>
      <c r="D170" s="1" t="s">
        <v>318</v>
      </c>
      <c r="E170" t="s">
        <v>356</v>
      </c>
      <c r="F170" t="s">
        <v>356</v>
      </c>
      <c r="G170" t="s">
        <v>356</v>
      </c>
      <c r="H170" t="s">
        <v>356</v>
      </c>
      <c r="I170">
        <v>20.265260000000001</v>
      </c>
      <c r="J170">
        <v>21.550699999999999</v>
      </c>
      <c r="K170">
        <v>25.336030000000001</v>
      </c>
      <c r="L170" t="s">
        <v>356</v>
      </c>
      <c r="M170" t="s">
        <v>356</v>
      </c>
      <c r="N170" t="s">
        <v>356</v>
      </c>
      <c r="O170" t="s">
        <v>356</v>
      </c>
      <c r="P170" t="s">
        <v>356</v>
      </c>
      <c r="Q170" t="s">
        <v>356</v>
      </c>
      <c r="R170" t="s">
        <v>356</v>
      </c>
      <c r="S170" cm="1">
        <f t="array" ref="S170">IFERROR(LOOKUP(2,1/(E170:R170&lt;&gt;".."),E170:R170)/100,"")</f>
        <v>0.25336029999999998</v>
      </c>
      <c r="T170" cm="1">
        <f t="array" ref="T170">IFERROR(--LEFT(LOOKUP(2,1/(E170:R170&lt;&gt;".."),E$1:R$1),4),"")</f>
        <v>2018</v>
      </c>
    </row>
    <row r="171" spans="1:20" x14ac:dyDescent="0.35">
      <c r="A171" t="s">
        <v>65</v>
      </c>
      <c r="B171" s="1" t="s">
        <v>411</v>
      </c>
      <c r="C171" t="s">
        <v>88</v>
      </c>
      <c r="D171" s="1" t="s">
        <v>318</v>
      </c>
      <c r="E171" t="s">
        <v>356</v>
      </c>
      <c r="F171" t="s">
        <v>356</v>
      </c>
      <c r="G171" t="s">
        <v>356</v>
      </c>
      <c r="H171" t="s">
        <v>356</v>
      </c>
      <c r="I171" t="s">
        <v>356</v>
      </c>
      <c r="J171" t="s">
        <v>356</v>
      </c>
      <c r="K171" t="s">
        <v>356</v>
      </c>
      <c r="L171">
        <v>20.45364</v>
      </c>
      <c r="M171" t="s">
        <v>356</v>
      </c>
      <c r="N171" t="s">
        <v>356</v>
      </c>
      <c r="O171" t="s">
        <v>356</v>
      </c>
      <c r="P171" t="s">
        <v>356</v>
      </c>
      <c r="Q171" t="s">
        <v>356</v>
      </c>
      <c r="R171" t="s">
        <v>356</v>
      </c>
      <c r="S171" cm="1">
        <f t="array" ref="S171">IFERROR(LOOKUP(2,1/(E171:R171&lt;&gt;".."),E171:R171)/100,"")</f>
        <v>0.20453640000000001</v>
      </c>
      <c r="T171" cm="1">
        <f t="array" ref="T171">IFERROR(--LEFT(LOOKUP(2,1/(E171:R171&lt;&gt;".."),E$1:R$1),4),"")</f>
        <v>2019</v>
      </c>
    </row>
    <row r="172" spans="1:20" x14ac:dyDescent="0.35">
      <c r="A172" t="s">
        <v>552</v>
      </c>
      <c r="B172" s="1" t="s">
        <v>197</v>
      </c>
      <c r="C172" t="s">
        <v>88</v>
      </c>
      <c r="D172" s="1" t="s">
        <v>318</v>
      </c>
      <c r="E172" t="s">
        <v>356</v>
      </c>
      <c r="F172" t="s">
        <v>356</v>
      </c>
      <c r="G172" t="s">
        <v>356</v>
      </c>
      <c r="H172" t="s">
        <v>356</v>
      </c>
      <c r="I172" t="s">
        <v>356</v>
      </c>
      <c r="J172" t="s">
        <v>356</v>
      </c>
      <c r="K172" t="s">
        <v>356</v>
      </c>
      <c r="L172" t="s">
        <v>356</v>
      </c>
      <c r="M172" t="s">
        <v>356</v>
      </c>
      <c r="N172" t="s">
        <v>356</v>
      </c>
      <c r="O172" t="s">
        <v>356</v>
      </c>
      <c r="P172" t="s">
        <v>356</v>
      </c>
      <c r="Q172" t="s">
        <v>356</v>
      </c>
      <c r="R172" t="s">
        <v>356</v>
      </c>
      <c r="S172" t="str" cm="1">
        <f t="array" ref="S172">IFERROR(LOOKUP(2,1/(E172:R172&lt;&gt;".."),E172:R172)/100,"")</f>
        <v/>
      </c>
      <c r="T172" t="str" cm="1">
        <f t="array" ref="T172">IFERROR(--LEFT(LOOKUP(2,1/(E172:R172&lt;&gt;".."),E$1:R$1),4),"")</f>
        <v/>
      </c>
    </row>
    <row r="173" spans="1:20" x14ac:dyDescent="0.35">
      <c r="A173" t="s">
        <v>546</v>
      </c>
      <c r="B173" s="1" t="s">
        <v>57</v>
      </c>
      <c r="C173" t="s">
        <v>88</v>
      </c>
      <c r="D173" s="1" t="s">
        <v>318</v>
      </c>
      <c r="E173" t="s">
        <v>356</v>
      </c>
      <c r="F173" t="s">
        <v>356</v>
      </c>
      <c r="G173" t="s">
        <v>356</v>
      </c>
      <c r="H173">
        <v>17.120249999999999</v>
      </c>
      <c r="I173">
        <v>18.445409999999999</v>
      </c>
      <c r="J173">
        <v>19.04937</v>
      </c>
      <c r="K173" t="s">
        <v>356</v>
      </c>
      <c r="L173">
        <v>18.95167</v>
      </c>
      <c r="M173" t="s">
        <v>356</v>
      </c>
      <c r="N173" t="s">
        <v>356</v>
      </c>
      <c r="O173" t="s">
        <v>356</v>
      </c>
      <c r="P173" t="s">
        <v>356</v>
      </c>
      <c r="Q173" t="s">
        <v>356</v>
      </c>
      <c r="R173" t="s">
        <v>356</v>
      </c>
      <c r="S173" cm="1">
        <f t="array" ref="S173">IFERROR(LOOKUP(2,1/(E173:R173&lt;&gt;".."),E173:R173)/100,"")</f>
        <v>0.18951670000000001</v>
      </c>
      <c r="T173" cm="1">
        <f t="array" ref="T173">IFERROR(--LEFT(LOOKUP(2,1/(E173:R173&lt;&gt;".."),E$1:R$1),4),"")</f>
        <v>2019</v>
      </c>
    </row>
    <row r="174" spans="1:20" x14ac:dyDescent="0.35">
      <c r="A174" t="s">
        <v>161</v>
      </c>
      <c r="B174" s="1" t="s">
        <v>426</v>
      </c>
      <c r="C174" t="s">
        <v>88</v>
      </c>
      <c r="D174" s="1" t="s">
        <v>318</v>
      </c>
      <c r="E174">
        <v>4.1902900000000001</v>
      </c>
      <c r="F174" t="s">
        <v>356</v>
      </c>
      <c r="G174" t="s">
        <v>356</v>
      </c>
      <c r="H174">
        <v>10.088200000000001</v>
      </c>
      <c r="I174">
        <v>11.877879999999999</v>
      </c>
      <c r="J174">
        <v>9.0326599999999999</v>
      </c>
      <c r="K174">
        <v>9.5600100000000001</v>
      </c>
      <c r="L174" t="s">
        <v>356</v>
      </c>
      <c r="M174" t="s">
        <v>356</v>
      </c>
      <c r="N174" t="s">
        <v>356</v>
      </c>
      <c r="O174" t="s">
        <v>356</v>
      </c>
      <c r="P174" t="s">
        <v>356</v>
      </c>
      <c r="Q174" t="s">
        <v>356</v>
      </c>
      <c r="R174" t="s">
        <v>356</v>
      </c>
      <c r="S174" cm="1">
        <f t="array" ref="S174">IFERROR(LOOKUP(2,1/(E174:R174&lt;&gt;".."),E174:R174)/100,"")</f>
        <v>9.5600100000000007E-2</v>
      </c>
      <c r="T174" cm="1">
        <f t="array" ref="T174">IFERROR(--LEFT(LOOKUP(2,1/(E174:R174&lt;&gt;".."),E$1:R$1),4),"")</f>
        <v>2018</v>
      </c>
    </row>
    <row r="175" spans="1:20" x14ac:dyDescent="0.35">
      <c r="A175" t="s">
        <v>85</v>
      </c>
      <c r="B175" s="1" t="s">
        <v>498</v>
      </c>
      <c r="C175" t="s">
        <v>88</v>
      </c>
      <c r="D175" s="1" t="s">
        <v>318</v>
      </c>
      <c r="E175" t="s">
        <v>356</v>
      </c>
      <c r="F175" t="s">
        <v>356</v>
      </c>
      <c r="G175" t="s">
        <v>356</v>
      </c>
      <c r="H175" t="s">
        <v>356</v>
      </c>
      <c r="I175" t="s">
        <v>356</v>
      </c>
      <c r="J175" t="s">
        <v>356</v>
      </c>
      <c r="K175">
        <v>33.6678</v>
      </c>
      <c r="L175" t="s">
        <v>356</v>
      </c>
      <c r="M175" t="s">
        <v>356</v>
      </c>
      <c r="N175" t="s">
        <v>356</v>
      </c>
      <c r="O175" t="s">
        <v>356</v>
      </c>
      <c r="P175" t="s">
        <v>356</v>
      </c>
      <c r="Q175" t="s">
        <v>356</v>
      </c>
      <c r="R175" t="s">
        <v>356</v>
      </c>
      <c r="S175" cm="1">
        <f t="array" ref="S175">IFERROR(LOOKUP(2,1/(E175:R175&lt;&gt;".."),E175:R175)/100,"")</f>
        <v>0.33667799999999998</v>
      </c>
      <c r="T175" cm="1">
        <f t="array" ref="T175">IFERROR(--LEFT(LOOKUP(2,1/(E175:R175&lt;&gt;".."),E$1:R$1),4),"")</f>
        <v>2018</v>
      </c>
    </row>
    <row r="176" spans="1:20" x14ac:dyDescent="0.35">
      <c r="A176" t="s">
        <v>515</v>
      </c>
      <c r="B176" s="1" t="s">
        <v>152</v>
      </c>
      <c r="C176" t="s">
        <v>88</v>
      </c>
      <c r="D176" s="1" t="s">
        <v>318</v>
      </c>
      <c r="E176" t="s">
        <v>356</v>
      </c>
      <c r="F176" t="s">
        <v>356</v>
      </c>
      <c r="G176">
        <v>17.892109999999999</v>
      </c>
      <c r="H176">
        <v>16.176200000000001</v>
      </c>
      <c r="I176">
        <v>12.97532</v>
      </c>
      <c r="J176">
        <v>12.119350000000001</v>
      </c>
      <c r="K176" t="s">
        <v>356</v>
      </c>
      <c r="L176" t="s">
        <v>356</v>
      </c>
      <c r="M176" t="s">
        <v>356</v>
      </c>
      <c r="N176" t="s">
        <v>356</v>
      </c>
      <c r="O176" t="s">
        <v>356</v>
      </c>
      <c r="P176" t="s">
        <v>356</v>
      </c>
      <c r="Q176" t="s">
        <v>356</v>
      </c>
      <c r="R176" t="s">
        <v>356</v>
      </c>
      <c r="S176" cm="1">
        <f t="array" ref="S176">IFERROR(LOOKUP(2,1/(E176:R176&lt;&gt;".."),E176:R176)/100,"")</f>
        <v>0.12119350000000001</v>
      </c>
      <c r="T176" cm="1">
        <f t="array" ref="T176">IFERROR(--LEFT(LOOKUP(2,1/(E176:R176&lt;&gt;".."),E$1:R$1),4),"")</f>
        <v>2017</v>
      </c>
    </row>
    <row r="177" spans="1:20" x14ac:dyDescent="0.35">
      <c r="A177" t="s">
        <v>29</v>
      </c>
      <c r="B177" s="1" t="s">
        <v>75</v>
      </c>
      <c r="C177" t="s">
        <v>88</v>
      </c>
      <c r="D177" s="1" t="s">
        <v>318</v>
      </c>
      <c r="E177" t="s">
        <v>356</v>
      </c>
      <c r="F177" t="s">
        <v>356</v>
      </c>
      <c r="G177" t="s">
        <v>356</v>
      </c>
      <c r="H177" t="s">
        <v>356</v>
      </c>
      <c r="I177" t="s">
        <v>356</v>
      </c>
      <c r="J177" t="s">
        <v>356</v>
      </c>
      <c r="K177" t="s">
        <v>356</v>
      </c>
      <c r="L177" t="s">
        <v>356</v>
      </c>
      <c r="M177" t="s">
        <v>356</v>
      </c>
      <c r="N177" t="s">
        <v>356</v>
      </c>
      <c r="O177" t="s">
        <v>356</v>
      </c>
      <c r="P177" t="s">
        <v>356</v>
      </c>
      <c r="Q177" t="s">
        <v>356</v>
      </c>
      <c r="R177" t="s">
        <v>356</v>
      </c>
      <c r="S177" t="str" cm="1">
        <f t="array" ref="S177">IFERROR(LOOKUP(2,1/(E177:R177&lt;&gt;".."),E177:R177)/100,"")</f>
        <v/>
      </c>
      <c r="T177" t="str" cm="1">
        <f t="array" ref="T177">IFERROR(--LEFT(LOOKUP(2,1/(E177:R177&lt;&gt;".."),E$1:R$1),4),"")</f>
        <v/>
      </c>
    </row>
    <row r="178" spans="1:20" x14ac:dyDescent="0.35">
      <c r="A178" t="s">
        <v>39</v>
      </c>
      <c r="B178" s="1" t="s">
        <v>76</v>
      </c>
      <c r="C178" t="s">
        <v>88</v>
      </c>
      <c r="D178" s="1" t="s">
        <v>318</v>
      </c>
      <c r="E178" t="s">
        <v>356</v>
      </c>
      <c r="F178" t="s">
        <v>356</v>
      </c>
      <c r="G178" t="s">
        <v>356</v>
      </c>
      <c r="H178" t="s">
        <v>356</v>
      </c>
      <c r="I178" t="s">
        <v>356</v>
      </c>
      <c r="J178" t="s">
        <v>356</v>
      </c>
      <c r="K178" t="s">
        <v>356</v>
      </c>
      <c r="L178" t="s">
        <v>356</v>
      </c>
      <c r="M178" t="s">
        <v>356</v>
      </c>
      <c r="N178" t="s">
        <v>356</v>
      </c>
      <c r="O178" t="s">
        <v>356</v>
      </c>
      <c r="P178" t="s">
        <v>356</v>
      </c>
      <c r="Q178" t="s">
        <v>356</v>
      </c>
      <c r="R178" t="s">
        <v>356</v>
      </c>
      <c r="S178" t="str" cm="1">
        <f t="array" ref="S178">IFERROR(LOOKUP(2,1/(E178:R178&lt;&gt;".."),E178:R178)/100,"")</f>
        <v/>
      </c>
      <c r="T178" t="str" cm="1">
        <f t="array" ref="T178">IFERROR(--LEFT(LOOKUP(2,1/(E178:R178&lt;&gt;".."),E$1:R$1),4),"")</f>
        <v/>
      </c>
    </row>
    <row r="179" spans="1:20" x14ac:dyDescent="0.35">
      <c r="A179" t="s">
        <v>14</v>
      </c>
      <c r="B179" s="1" t="s">
        <v>494</v>
      </c>
      <c r="C179" t="s">
        <v>88</v>
      </c>
      <c r="D179" s="1" t="s">
        <v>318</v>
      </c>
      <c r="E179" t="s">
        <v>356</v>
      </c>
      <c r="F179">
        <v>13.8436</v>
      </c>
      <c r="G179">
        <v>14.14242</v>
      </c>
      <c r="H179" t="s">
        <v>356</v>
      </c>
      <c r="I179" t="s">
        <v>356</v>
      </c>
      <c r="J179">
        <v>16.616289999999999</v>
      </c>
      <c r="K179">
        <v>17.451059999999998</v>
      </c>
      <c r="L179" t="s">
        <v>356</v>
      </c>
      <c r="M179" t="s">
        <v>356</v>
      </c>
      <c r="N179" t="s">
        <v>356</v>
      </c>
      <c r="O179" t="s">
        <v>356</v>
      </c>
      <c r="P179" t="s">
        <v>356</v>
      </c>
      <c r="Q179" t="s">
        <v>356</v>
      </c>
      <c r="R179" t="s">
        <v>356</v>
      </c>
      <c r="S179" cm="1">
        <f t="array" ref="S179">IFERROR(LOOKUP(2,1/(E179:R179&lt;&gt;".."),E179:R179)/100,"")</f>
        <v>0.17451059999999999</v>
      </c>
      <c r="T179" cm="1">
        <f t="array" ref="T179">IFERROR(--LEFT(LOOKUP(2,1/(E179:R179&lt;&gt;".."),E$1:R$1),4),"")</f>
        <v>2018</v>
      </c>
    </row>
    <row r="180" spans="1:20" x14ac:dyDescent="0.35">
      <c r="A180" t="s">
        <v>551</v>
      </c>
      <c r="B180" s="1" t="s">
        <v>496</v>
      </c>
      <c r="C180" t="s">
        <v>88</v>
      </c>
      <c r="D180" s="1" t="s">
        <v>318</v>
      </c>
      <c r="E180" t="s">
        <v>356</v>
      </c>
      <c r="F180" t="s">
        <v>356</v>
      </c>
      <c r="G180" t="s">
        <v>356</v>
      </c>
      <c r="H180" t="s">
        <v>356</v>
      </c>
      <c r="I180" t="s">
        <v>356</v>
      </c>
      <c r="J180" t="s">
        <v>356</v>
      </c>
      <c r="K180" t="s">
        <v>356</v>
      </c>
      <c r="L180" t="s">
        <v>356</v>
      </c>
      <c r="M180" t="s">
        <v>356</v>
      </c>
      <c r="N180" t="s">
        <v>356</v>
      </c>
      <c r="O180" t="s">
        <v>356</v>
      </c>
      <c r="P180" t="s">
        <v>356</v>
      </c>
      <c r="Q180" t="s">
        <v>356</v>
      </c>
      <c r="R180" t="s">
        <v>356</v>
      </c>
      <c r="S180" t="str" cm="1">
        <f t="array" ref="S180">IFERROR(LOOKUP(2,1/(E180:R180&lt;&gt;".."),E180:R180)/100,"")</f>
        <v/>
      </c>
      <c r="T180" t="str" cm="1">
        <f t="array" ref="T180">IFERROR(--LEFT(LOOKUP(2,1/(E180:R180&lt;&gt;".."),E$1:R$1),4),"")</f>
        <v/>
      </c>
    </row>
    <row r="181" spans="1:20" x14ac:dyDescent="0.35">
      <c r="A181" t="s">
        <v>123</v>
      </c>
      <c r="B181" s="1" t="s">
        <v>325</v>
      </c>
      <c r="C181" t="s">
        <v>88</v>
      </c>
      <c r="D181" s="1" t="s">
        <v>318</v>
      </c>
      <c r="E181" t="s">
        <v>356</v>
      </c>
      <c r="F181" t="s">
        <v>356</v>
      </c>
      <c r="G181" t="s">
        <v>356</v>
      </c>
      <c r="H181" t="s">
        <v>356</v>
      </c>
      <c r="I181" t="s">
        <v>356</v>
      </c>
      <c r="J181" t="s">
        <v>356</v>
      </c>
      <c r="K181" t="s">
        <v>356</v>
      </c>
      <c r="L181" t="s">
        <v>356</v>
      </c>
      <c r="M181" t="s">
        <v>356</v>
      </c>
      <c r="N181" t="s">
        <v>356</v>
      </c>
      <c r="O181" t="s">
        <v>356</v>
      </c>
      <c r="P181" t="s">
        <v>356</v>
      </c>
      <c r="Q181" t="s">
        <v>356</v>
      </c>
      <c r="R181" t="s">
        <v>356</v>
      </c>
      <c r="S181" t="str" cm="1">
        <f t="array" ref="S181">IFERROR(LOOKUP(2,1/(E181:R181&lt;&gt;".."),E181:R181)/100,"")</f>
        <v/>
      </c>
      <c r="T181" t="str" cm="1">
        <f t="array" ref="T181">IFERROR(--LEFT(LOOKUP(2,1/(E181:R181&lt;&gt;".."),E$1:R$1),4),"")</f>
        <v/>
      </c>
    </row>
    <row r="182" spans="1:20" x14ac:dyDescent="0.35">
      <c r="A182" t="s">
        <v>135</v>
      </c>
      <c r="B182" s="1" t="s">
        <v>43</v>
      </c>
      <c r="C182" t="s">
        <v>88</v>
      </c>
      <c r="D182" s="1" t="s">
        <v>318</v>
      </c>
      <c r="E182" t="s">
        <v>356</v>
      </c>
      <c r="F182">
        <v>19.203990000000001</v>
      </c>
      <c r="G182">
        <v>19.586670000000002</v>
      </c>
      <c r="H182">
        <v>20.344349999999999</v>
      </c>
      <c r="I182">
        <v>19.885390000000001</v>
      </c>
      <c r="J182">
        <v>21.176130000000001</v>
      </c>
      <c r="K182">
        <v>21.3766</v>
      </c>
      <c r="L182" t="s">
        <v>356</v>
      </c>
      <c r="M182" t="s">
        <v>356</v>
      </c>
      <c r="N182" t="s">
        <v>356</v>
      </c>
      <c r="O182" t="s">
        <v>356</v>
      </c>
      <c r="P182" t="s">
        <v>356</v>
      </c>
      <c r="Q182" t="s">
        <v>356</v>
      </c>
      <c r="R182" t="s">
        <v>356</v>
      </c>
      <c r="S182" cm="1">
        <f t="array" ref="S182">IFERROR(LOOKUP(2,1/(E182:R182&lt;&gt;".."),E182:R182)/100,"")</f>
        <v>0.21376600000000001</v>
      </c>
      <c r="T182" cm="1">
        <f t="array" ref="T182">IFERROR(--LEFT(LOOKUP(2,1/(E182:R182&lt;&gt;".."),E$1:R$1),4),"")</f>
        <v>2018</v>
      </c>
    </row>
    <row r="183" spans="1:20" x14ac:dyDescent="0.35">
      <c r="A183" t="s">
        <v>395</v>
      </c>
      <c r="B183" s="1" t="s">
        <v>267</v>
      </c>
      <c r="C183" t="s">
        <v>88</v>
      </c>
      <c r="D183" s="1" t="s">
        <v>318</v>
      </c>
      <c r="E183" t="s">
        <v>356</v>
      </c>
      <c r="F183" t="s">
        <v>356</v>
      </c>
      <c r="G183" t="s">
        <v>356</v>
      </c>
      <c r="H183" t="s">
        <v>356</v>
      </c>
      <c r="I183" t="s">
        <v>356</v>
      </c>
      <c r="J183" t="s">
        <v>356</v>
      </c>
      <c r="K183" t="s">
        <v>356</v>
      </c>
      <c r="L183" t="s">
        <v>356</v>
      </c>
      <c r="M183" t="s">
        <v>356</v>
      </c>
      <c r="N183" t="s">
        <v>356</v>
      </c>
      <c r="O183" t="s">
        <v>356</v>
      </c>
      <c r="P183" t="s">
        <v>356</v>
      </c>
      <c r="Q183" t="s">
        <v>356</v>
      </c>
      <c r="R183" t="s">
        <v>356</v>
      </c>
      <c r="S183" t="str" cm="1">
        <f t="array" ref="S183">IFERROR(LOOKUP(2,1/(E183:R183&lt;&gt;".."),E183:R183)/100,"")</f>
        <v/>
      </c>
      <c r="T183" t="str" cm="1">
        <f t="array" ref="T183">IFERROR(--LEFT(LOOKUP(2,1/(E183:R183&lt;&gt;".."),E$1:R$1),4),"")</f>
        <v/>
      </c>
    </row>
    <row r="184" spans="1:20" x14ac:dyDescent="0.35">
      <c r="A184" t="s">
        <v>520</v>
      </c>
      <c r="B184" s="1" t="s">
        <v>526</v>
      </c>
      <c r="C184" t="s">
        <v>88</v>
      </c>
      <c r="D184" s="1" t="s">
        <v>318</v>
      </c>
      <c r="E184" t="s">
        <v>356</v>
      </c>
      <c r="F184" t="s">
        <v>356</v>
      </c>
      <c r="G184" t="s">
        <v>356</v>
      </c>
      <c r="H184">
        <v>13.716609999999999</v>
      </c>
      <c r="I184">
        <v>15.42273</v>
      </c>
      <c r="J184">
        <v>13.218220000000001</v>
      </c>
      <c r="K184">
        <v>10.421530000000001</v>
      </c>
      <c r="L184">
        <v>12.34282</v>
      </c>
      <c r="M184" t="s">
        <v>356</v>
      </c>
      <c r="N184" t="s">
        <v>356</v>
      </c>
      <c r="O184" t="s">
        <v>356</v>
      </c>
      <c r="P184" t="s">
        <v>356</v>
      </c>
      <c r="Q184" t="s">
        <v>356</v>
      </c>
      <c r="R184" t="s">
        <v>356</v>
      </c>
      <c r="S184" cm="1">
        <f t="array" ref="S184">IFERROR(LOOKUP(2,1/(E184:R184&lt;&gt;".."),E184:R184)/100,"")</f>
        <v>0.1234282</v>
      </c>
      <c r="T184" cm="1">
        <f t="array" ref="T184">IFERROR(--LEFT(LOOKUP(2,1/(E184:R184&lt;&gt;".."),E$1:R$1),4),"")</f>
        <v>2019</v>
      </c>
    </row>
    <row r="185" spans="1:20" x14ac:dyDescent="0.35">
      <c r="A185" t="s">
        <v>165</v>
      </c>
      <c r="B185" s="1" t="s">
        <v>317</v>
      </c>
      <c r="C185" t="s">
        <v>88</v>
      </c>
      <c r="D185" s="1" t="s">
        <v>318</v>
      </c>
      <c r="E185" t="s">
        <v>356</v>
      </c>
      <c r="F185" t="s">
        <v>356</v>
      </c>
      <c r="G185" t="s">
        <v>356</v>
      </c>
      <c r="H185" t="s">
        <v>356</v>
      </c>
      <c r="I185" t="s">
        <v>356</v>
      </c>
      <c r="J185" t="s">
        <v>356</v>
      </c>
      <c r="K185" t="s">
        <v>356</v>
      </c>
      <c r="L185" t="s">
        <v>356</v>
      </c>
      <c r="M185" t="s">
        <v>356</v>
      </c>
      <c r="N185" t="s">
        <v>356</v>
      </c>
      <c r="O185" t="s">
        <v>356</v>
      </c>
      <c r="P185" t="s">
        <v>356</v>
      </c>
      <c r="Q185" t="s">
        <v>356</v>
      </c>
      <c r="R185" t="s">
        <v>356</v>
      </c>
      <c r="S185" t="str" cm="1">
        <f t="array" ref="S185">IFERROR(LOOKUP(2,1/(E185:R185&lt;&gt;".."),E185:R185)/100,"")</f>
        <v/>
      </c>
      <c r="T185" t="str" cm="1">
        <f t="array" ref="T185">IFERROR(--LEFT(LOOKUP(2,1/(E185:R185&lt;&gt;".."),E$1:R$1),4),"")</f>
        <v/>
      </c>
    </row>
    <row r="186" spans="1:20" x14ac:dyDescent="0.35">
      <c r="A186" t="s">
        <v>12</v>
      </c>
      <c r="B186" s="1" t="s">
        <v>0</v>
      </c>
      <c r="C186" t="s">
        <v>88</v>
      </c>
      <c r="D186" s="1" t="s">
        <v>318</v>
      </c>
      <c r="E186" t="s">
        <v>356</v>
      </c>
      <c r="F186" t="s">
        <v>356</v>
      </c>
      <c r="G186" t="s">
        <v>356</v>
      </c>
      <c r="H186" t="s">
        <v>356</v>
      </c>
      <c r="I186" t="s">
        <v>356</v>
      </c>
      <c r="J186" t="s">
        <v>356</v>
      </c>
      <c r="K186" t="s">
        <v>356</v>
      </c>
      <c r="L186" t="s">
        <v>356</v>
      </c>
      <c r="M186" t="s">
        <v>356</v>
      </c>
      <c r="N186" t="s">
        <v>356</v>
      </c>
      <c r="O186" t="s">
        <v>356</v>
      </c>
      <c r="P186" t="s">
        <v>356</v>
      </c>
      <c r="Q186" t="s">
        <v>356</v>
      </c>
      <c r="R186" t="s">
        <v>356</v>
      </c>
      <c r="S186" t="str" cm="1">
        <f t="array" ref="S186">IFERROR(LOOKUP(2,1/(E186:R186&lt;&gt;".."),E186:R186)/100,"")</f>
        <v/>
      </c>
      <c r="T186" t="str" cm="1">
        <f t="array" ref="T186">IFERROR(--LEFT(LOOKUP(2,1/(E186:R186&lt;&gt;".."),E$1:R$1),4),"")</f>
        <v/>
      </c>
    </row>
    <row r="187" spans="1:20" x14ac:dyDescent="0.35">
      <c r="A187" t="s">
        <v>179</v>
      </c>
      <c r="B187" s="1" t="s">
        <v>326</v>
      </c>
      <c r="C187" t="s">
        <v>88</v>
      </c>
      <c r="D187" s="1" t="s">
        <v>318</v>
      </c>
      <c r="E187" t="s">
        <v>356</v>
      </c>
      <c r="F187" t="s">
        <v>356</v>
      </c>
      <c r="G187" t="s">
        <v>356</v>
      </c>
      <c r="H187" t="s">
        <v>356</v>
      </c>
      <c r="I187" t="s">
        <v>356</v>
      </c>
      <c r="J187" t="s">
        <v>356</v>
      </c>
      <c r="K187" t="s">
        <v>356</v>
      </c>
      <c r="L187" t="s">
        <v>356</v>
      </c>
      <c r="M187" t="s">
        <v>356</v>
      </c>
      <c r="N187" t="s">
        <v>356</v>
      </c>
      <c r="O187" t="s">
        <v>356</v>
      </c>
      <c r="P187" t="s">
        <v>356</v>
      </c>
      <c r="Q187" t="s">
        <v>356</v>
      </c>
      <c r="R187" t="s">
        <v>356</v>
      </c>
      <c r="S187" t="str" cm="1">
        <f t="array" ref="S187">IFERROR(LOOKUP(2,1/(E187:R187&lt;&gt;".."),E187:R187)/100,"")</f>
        <v/>
      </c>
      <c r="T187" t="str" cm="1">
        <f t="array" ref="T187">IFERROR(--LEFT(LOOKUP(2,1/(E187:R187&lt;&gt;".."),E$1:R$1),4),"")</f>
        <v/>
      </c>
    </row>
    <row r="188" spans="1:20" x14ac:dyDescent="0.35">
      <c r="A188" t="s">
        <v>243</v>
      </c>
      <c r="B188" s="1" t="s">
        <v>172</v>
      </c>
      <c r="C188" t="s">
        <v>88</v>
      </c>
      <c r="D188" s="1" t="s">
        <v>318</v>
      </c>
      <c r="E188">
        <v>19.47129</v>
      </c>
      <c r="F188">
        <v>22.212440000000001</v>
      </c>
      <c r="G188">
        <v>21.797280000000001</v>
      </c>
      <c r="H188">
        <v>19.95693</v>
      </c>
      <c r="I188" t="s">
        <v>356</v>
      </c>
      <c r="J188">
        <v>21.889849999999999</v>
      </c>
      <c r="K188">
        <v>23.570119999999999</v>
      </c>
      <c r="L188" t="s">
        <v>356</v>
      </c>
      <c r="M188" t="s">
        <v>356</v>
      </c>
      <c r="N188" t="s">
        <v>356</v>
      </c>
      <c r="O188" t="s">
        <v>356</v>
      </c>
      <c r="P188" t="s">
        <v>356</v>
      </c>
      <c r="Q188" t="s">
        <v>356</v>
      </c>
      <c r="R188" t="s">
        <v>356</v>
      </c>
      <c r="S188" cm="1">
        <f t="array" ref="S188">IFERROR(LOOKUP(2,1/(E188:R188&lt;&gt;".."),E188:R188)/100,"")</f>
        <v>0.2357012</v>
      </c>
      <c r="T188" cm="1">
        <f t="array" ref="T188">IFERROR(--LEFT(LOOKUP(2,1/(E188:R188&lt;&gt;".."),E$1:R$1),4),"")</f>
        <v>2018</v>
      </c>
    </row>
    <row r="189" spans="1:20" x14ac:dyDescent="0.35">
      <c r="A189" t="s">
        <v>55</v>
      </c>
      <c r="B189" s="1" t="s">
        <v>97</v>
      </c>
      <c r="C189" t="s">
        <v>88</v>
      </c>
      <c r="D189" s="1" t="s">
        <v>318</v>
      </c>
      <c r="E189" t="s">
        <v>356</v>
      </c>
      <c r="F189" t="s">
        <v>356</v>
      </c>
      <c r="G189" t="s">
        <v>356</v>
      </c>
      <c r="H189" t="s">
        <v>356</v>
      </c>
      <c r="I189" t="s">
        <v>356</v>
      </c>
      <c r="J189" t="s">
        <v>356</v>
      </c>
      <c r="K189" t="s">
        <v>356</v>
      </c>
      <c r="L189" t="s">
        <v>356</v>
      </c>
      <c r="M189" t="s">
        <v>356</v>
      </c>
      <c r="N189" t="s">
        <v>356</v>
      </c>
      <c r="O189" t="s">
        <v>356</v>
      </c>
      <c r="P189" t="s">
        <v>356</v>
      </c>
      <c r="Q189" t="s">
        <v>356</v>
      </c>
      <c r="R189" t="s">
        <v>356</v>
      </c>
      <c r="S189" t="str" cm="1">
        <f t="array" ref="S189">IFERROR(LOOKUP(2,1/(E189:R189&lt;&gt;".."),E189:R189)/100,"")</f>
        <v/>
      </c>
      <c r="T189" t="str" cm="1">
        <f t="array" ref="T189">IFERROR(--LEFT(LOOKUP(2,1/(E189:R189&lt;&gt;".."),E$1:R$1),4),"")</f>
        <v/>
      </c>
    </row>
    <row r="190" spans="1:20" x14ac:dyDescent="0.35">
      <c r="A190" t="s">
        <v>261</v>
      </c>
      <c r="B190" s="1" t="s">
        <v>125</v>
      </c>
      <c r="C190" t="s">
        <v>88</v>
      </c>
      <c r="D190" s="1" t="s">
        <v>318</v>
      </c>
      <c r="E190">
        <v>16.323090000000001</v>
      </c>
      <c r="F190">
        <v>19.733750000000001</v>
      </c>
      <c r="G190">
        <v>20.166730000000001</v>
      </c>
      <c r="H190">
        <v>21.005140000000001</v>
      </c>
      <c r="I190">
        <v>20.49174</v>
      </c>
      <c r="J190">
        <v>22.10417</v>
      </c>
      <c r="K190" t="s">
        <v>356</v>
      </c>
      <c r="L190" t="s">
        <v>356</v>
      </c>
      <c r="M190" t="s">
        <v>356</v>
      </c>
      <c r="N190" t="s">
        <v>356</v>
      </c>
      <c r="O190" t="s">
        <v>356</v>
      </c>
      <c r="P190" t="s">
        <v>356</v>
      </c>
      <c r="Q190" t="s">
        <v>356</v>
      </c>
      <c r="R190" t="s">
        <v>356</v>
      </c>
      <c r="S190" cm="1">
        <f t="array" ref="S190">IFERROR(LOOKUP(2,1/(E190:R190&lt;&gt;".."),E190:R190)/100,"")</f>
        <v>0.22104170000000001</v>
      </c>
      <c r="T190" cm="1">
        <f t="array" ref="T190">IFERROR(--LEFT(LOOKUP(2,1/(E190:R190&lt;&gt;".."),E$1:R$1),4),"")</f>
        <v>2017</v>
      </c>
    </row>
    <row r="191" spans="1:20" x14ac:dyDescent="0.35">
      <c r="A191" t="s">
        <v>194</v>
      </c>
      <c r="B191" s="1" t="s">
        <v>53</v>
      </c>
      <c r="C191" t="s">
        <v>88</v>
      </c>
      <c r="D191" s="1" t="s">
        <v>318</v>
      </c>
      <c r="E191" t="s">
        <v>356</v>
      </c>
      <c r="F191" t="s">
        <v>356</v>
      </c>
      <c r="G191" t="s">
        <v>356</v>
      </c>
      <c r="H191" t="s">
        <v>356</v>
      </c>
      <c r="I191" t="s">
        <v>356</v>
      </c>
      <c r="J191" t="s">
        <v>356</v>
      </c>
      <c r="K191" t="s">
        <v>356</v>
      </c>
      <c r="L191" t="s">
        <v>356</v>
      </c>
      <c r="M191" t="s">
        <v>356</v>
      </c>
      <c r="N191" t="s">
        <v>356</v>
      </c>
      <c r="O191" t="s">
        <v>356</v>
      </c>
      <c r="P191" t="s">
        <v>356</v>
      </c>
      <c r="Q191" t="s">
        <v>356</v>
      </c>
      <c r="R191" t="s">
        <v>356</v>
      </c>
      <c r="S191" t="str" cm="1">
        <f t="array" ref="S191">IFERROR(LOOKUP(2,1/(E191:R191&lt;&gt;".."),E191:R191)/100,"")</f>
        <v/>
      </c>
      <c r="T191" t="str" cm="1">
        <f t="array" ref="T191">IFERROR(--LEFT(LOOKUP(2,1/(E191:R191&lt;&gt;".."),E$1:R$1),4),"")</f>
        <v/>
      </c>
    </row>
    <row r="192" spans="1:20" x14ac:dyDescent="0.35">
      <c r="A192" t="s">
        <v>323</v>
      </c>
      <c r="B192" s="1" t="s">
        <v>433</v>
      </c>
      <c r="C192" t="s">
        <v>88</v>
      </c>
      <c r="D192" s="1" t="s">
        <v>318</v>
      </c>
      <c r="E192" t="s">
        <v>356</v>
      </c>
      <c r="F192" t="s">
        <v>356</v>
      </c>
      <c r="G192" t="s">
        <v>356</v>
      </c>
      <c r="H192">
        <v>42.536949999999997</v>
      </c>
      <c r="I192">
        <v>44.808529999999998</v>
      </c>
      <c r="J192">
        <v>46.270119999999999</v>
      </c>
      <c r="K192">
        <v>46.145200000000003</v>
      </c>
      <c r="L192">
        <v>44.498690000000003</v>
      </c>
      <c r="M192" t="s">
        <v>356</v>
      </c>
      <c r="N192" t="s">
        <v>356</v>
      </c>
      <c r="O192" t="s">
        <v>356</v>
      </c>
      <c r="P192" t="s">
        <v>356</v>
      </c>
      <c r="Q192" t="s">
        <v>356</v>
      </c>
      <c r="R192" t="s">
        <v>356</v>
      </c>
      <c r="S192" cm="1">
        <f t="array" ref="S192">IFERROR(LOOKUP(2,1/(E192:R192&lt;&gt;".."),E192:R192)/100,"")</f>
        <v>0.44498690000000002</v>
      </c>
      <c r="T192" cm="1">
        <f t="array" ref="T192">IFERROR(--LEFT(LOOKUP(2,1/(E192:R192&lt;&gt;".."),E$1:R$1),4),"")</f>
        <v>2019</v>
      </c>
    </row>
    <row r="193" spans="1:20" x14ac:dyDescent="0.35">
      <c r="A193" t="s">
        <v>488</v>
      </c>
      <c r="B193" s="1" t="s">
        <v>230</v>
      </c>
      <c r="C193" t="s">
        <v>88</v>
      </c>
      <c r="D193" s="1" t="s">
        <v>318</v>
      </c>
      <c r="E193" t="s">
        <v>356</v>
      </c>
      <c r="F193" t="s">
        <v>356</v>
      </c>
      <c r="G193" t="s">
        <v>356</v>
      </c>
      <c r="H193" t="s">
        <v>356</v>
      </c>
      <c r="I193" t="s">
        <v>356</v>
      </c>
      <c r="J193" t="s">
        <v>356</v>
      </c>
      <c r="K193" t="s">
        <v>356</v>
      </c>
      <c r="L193" t="s">
        <v>356</v>
      </c>
      <c r="M193" t="s">
        <v>356</v>
      </c>
      <c r="N193" t="s">
        <v>356</v>
      </c>
      <c r="O193" t="s">
        <v>356</v>
      </c>
      <c r="P193" t="s">
        <v>356</v>
      </c>
      <c r="Q193" t="s">
        <v>356</v>
      </c>
      <c r="R193" t="s">
        <v>356</v>
      </c>
      <c r="S193" t="str" cm="1">
        <f t="array" ref="S193">IFERROR(LOOKUP(2,1/(E193:R193&lt;&gt;".."),E193:R193)/100,"")</f>
        <v/>
      </c>
      <c r="T193" t="str" cm="1">
        <f t="array" ref="T193">IFERROR(--LEFT(LOOKUP(2,1/(E193:R193&lt;&gt;".."),E$1:R$1),4),"")</f>
        <v/>
      </c>
    </row>
    <row r="194" spans="1:20" x14ac:dyDescent="0.35">
      <c r="A194" t="s">
        <v>444</v>
      </c>
      <c r="B194" s="1" t="s">
        <v>434</v>
      </c>
      <c r="C194" t="s">
        <v>88</v>
      </c>
      <c r="D194" s="1" t="s">
        <v>318</v>
      </c>
      <c r="E194" t="s">
        <v>356</v>
      </c>
      <c r="F194" t="s">
        <v>356</v>
      </c>
      <c r="G194" t="s">
        <v>356</v>
      </c>
      <c r="H194" t="s">
        <v>356</v>
      </c>
      <c r="I194" t="s">
        <v>356</v>
      </c>
      <c r="J194" t="s">
        <v>356</v>
      </c>
      <c r="K194" t="s">
        <v>356</v>
      </c>
      <c r="L194" t="s">
        <v>356</v>
      </c>
      <c r="M194" t="s">
        <v>356</v>
      </c>
      <c r="N194" t="s">
        <v>356</v>
      </c>
      <c r="O194" t="s">
        <v>356</v>
      </c>
      <c r="P194" t="s">
        <v>356</v>
      </c>
      <c r="Q194" t="s">
        <v>356</v>
      </c>
      <c r="R194" t="s">
        <v>356</v>
      </c>
      <c r="S194" t="str" cm="1">
        <f t="array" ref="S194">IFERROR(LOOKUP(2,1/(E194:R194&lt;&gt;".."),E194:R194)/100,"")</f>
        <v/>
      </c>
      <c r="T194" t="str" cm="1">
        <f t="array" ref="T194">IFERROR(--LEFT(LOOKUP(2,1/(E194:R194&lt;&gt;".."),E$1:R$1),4),"")</f>
        <v/>
      </c>
    </row>
    <row r="195" spans="1:20" x14ac:dyDescent="0.35">
      <c r="A195" t="s">
        <v>558</v>
      </c>
      <c r="B195" s="1" t="s">
        <v>396</v>
      </c>
      <c r="C195" t="s">
        <v>88</v>
      </c>
      <c r="D195" s="1" t="s">
        <v>318</v>
      </c>
      <c r="E195" t="s">
        <v>356</v>
      </c>
      <c r="F195" t="s">
        <v>356</v>
      </c>
      <c r="G195" t="s">
        <v>356</v>
      </c>
      <c r="H195" t="s">
        <v>356</v>
      </c>
      <c r="I195" t="s">
        <v>356</v>
      </c>
      <c r="J195" t="s">
        <v>356</v>
      </c>
      <c r="K195" t="s">
        <v>356</v>
      </c>
      <c r="L195" t="s">
        <v>356</v>
      </c>
      <c r="M195" t="s">
        <v>356</v>
      </c>
      <c r="N195" t="s">
        <v>356</v>
      </c>
      <c r="O195" t="s">
        <v>356</v>
      </c>
      <c r="P195" t="s">
        <v>356</v>
      </c>
      <c r="Q195" t="s">
        <v>356</v>
      </c>
      <c r="R195" t="s">
        <v>356</v>
      </c>
      <c r="S195" t="str" cm="1">
        <f t="array" ref="S195">IFERROR(LOOKUP(2,1/(E195:R195&lt;&gt;".."),E195:R195)/100,"")</f>
        <v/>
      </c>
      <c r="T195" t="str" cm="1">
        <f t="array" ref="T195">IFERROR(--LEFT(LOOKUP(2,1/(E195:R195&lt;&gt;".."),E$1:R$1),4),"")</f>
        <v/>
      </c>
    </row>
    <row r="196" spans="1:20" x14ac:dyDescent="0.35">
      <c r="A196" t="s">
        <v>333</v>
      </c>
      <c r="B196" s="1" t="s">
        <v>249</v>
      </c>
      <c r="C196" t="s">
        <v>88</v>
      </c>
      <c r="D196" s="1" t="s">
        <v>318</v>
      </c>
      <c r="E196" t="s">
        <v>356</v>
      </c>
      <c r="F196" t="s">
        <v>356</v>
      </c>
      <c r="G196" t="s">
        <v>356</v>
      </c>
      <c r="H196" t="s">
        <v>356</v>
      </c>
      <c r="I196" t="s">
        <v>356</v>
      </c>
      <c r="J196" t="s">
        <v>356</v>
      </c>
      <c r="K196" t="s">
        <v>356</v>
      </c>
      <c r="L196" t="s">
        <v>356</v>
      </c>
      <c r="M196" t="s">
        <v>356</v>
      </c>
      <c r="N196" t="s">
        <v>356</v>
      </c>
      <c r="O196" t="s">
        <v>356</v>
      </c>
      <c r="P196" t="s">
        <v>356</v>
      </c>
      <c r="Q196" t="s">
        <v>356</v>
      </c>
      <c r="R196" t="s">
        <v>356</v>
      </c>
      <c r="S196" t="str" cm="1">
        <f t="array" ref="S196">IFERROR(LOOKUP(2,1/(E196:R196&lt;&gt;".."),E196:R196)/100,"")</f>
        <v/>
      </c>
      <c r="T196" t="str" cm="1">
        <f t="array" ref="T196">IFERROR(--LEFT(LOOKUP(2,1/(E196:R196&lt;&gt;".."),E$1:R$1),4),"")</f>
        <v/>
      </c>
    </row>
    <row r="197" spans="1:20" x14ac:dyDescent="0.35">
      <c r="A197" t="s">
        <v>139</v>
      </c>
      <c r="B197" s="1" t="s">
        <v>178</v>
      </c>
      <c r="C197" t="s">
        <v>88</v>
      </c>
      <c r="D197" s="1" t="s">
        <v>318</v>
      </c>
      <c r="E197" t="s">
        <v>356</v>
      </c>
      <c r="F197" t="s">
        <v>356</v>
      </c>
      <c r="G197">
        <v>16.521190000000001</v>
      </c>
      <c r="H197">
        <v>17.24098</v>
      </c>
      <c r="I197">
        <v>15.42653</v>
      </c>
      <c r="J197" t="s">
        <v>356</v>
      </c>
      <c r="K197" t="s">
        <v>356</v>
      </c>
      <c r="L197" t="s">
        <v>356</v>
      </c>
      <c r="M197" t="s">
        <v>356</v>
      </c>
      <c r="N197" t="s">
        <v>356</v>
      </c>
      <c r="O197" t="s">
        <v>356</v>
      </c>
      <c r="P197" t="s">
        <v>356</v>
      </c>
      <c r="Q197" t="s">
        <v>356</v>
      </c>
      <c r="R197" t="s">
        <v>356</v>
      </c>
      <c r="S197" cm="1">
        <f t="array" ref="S197">IFERROR(LOOKUP(2,1/(E197:R197&lt;&gt;".."),E197:R197)/100,"")</f>
        <v>0.15426529999999999</v>
      </c>
      <c r="T197" cm="1">
        <f t="array" ref="T197">IFERROR(--LEFT(LOOKUP(2,1/(E197:R197&lt;&gt;".."),E$1:R$1),4),"")</f>
        <v>2016</v>
      </c>
    </row>
    <row r="198" spans="1:20" x14ac:dyDescent="0.35">
      <c r="A198" t="s">
        <v>480</v>
      </c>
      <c r="B198" s="1" t="s">
        <v>484</v>
      </c>
      <c r="C198" t="s">
        <v>88</v>
      </c>
      <c r="D198" s="1" t="s">
        <v>318</v>
      </c>
      <c r="E198" t="s">
        <v>356</v>
      </c>
      <c r="F198" t="s">
        <v>356</v>
      </c>
      <c r="G198" t="s">
        <v>356</v>
      </c>
      <c r="H198" t="s">
        <v>356</v>
      </c>
      <c r="I198" t="s">
        <v>356</v>
      </c>
      <c r="J198" t="s">
        <v>356</v>
      </c>
      <c r="K198" t="s">
        <v>356</v>
      </c>
      <c r="L198" t="s">
        <v>356</v>
      </c>
      <c r="M198" t="s">
        <v>356</v>
      </c>
      <c r="N198" t="s">
        <v>356</v>
      </c>
      <c r="O198" t="s">
        <v>356</v>
      </c>
      <c r="P198" t="s">
        <v>356</v>
      </c>
      <c r="Q198" t="s">
        <v>356</v>
      </c>
      <c r="R198" t="s">
        <v>356</v>
      </c>
      <c r="S198" t="str" cm="1">
        <f t="array" ref="S198">IFERROR(LOOKUP(2,1/(E198:R198&lt;&gt;".."),E198:R198)/100,"")</f>
        <v/>
      </c>
      <c r="T198" t="str" cm="1">
        <f t="array" ref="T198">IFERROR(--LEFT(LOOKUP(2,1/(E198:R198&lt;&gt;".."),E$1:R$1),4),"")</f>
        <v/>
      </c>
    </row>
    <row r="199" spans="1:20" x14ac:dyDescent="0.35">
      <c r="A199" t="s">
        <v>160</v>
      </c>
      <c r="B199" s="1" t="s">
        <v>485</v>
      </c>
      <c r="C199" t="s">
        <v>88</v>
      </c>
      <c r="D199" s="1" t="s">
        <v>318</v>
      </c>
      <c r="E199" t="s">
        <v>356</v>
      </c>
      <c r="F199" t="s">
        <v>356</v>
      </c>
      <c r="G199" t="s">
        <v>356</v>
      </c>
      <c r="H199" t="s">
        <v>356</v>
      </c>
      <c r="I199" t="s">
        <v>356</v>
      </c>
      <c r="J199" t="s">
        <v>356</v>
      </c>
      <c r="K199" t="s">
        <v>356</v>
      </c>
      <c r="L199" t="s">
        <v>356</v>
      </c>
      <c r="M199" t="s">
        <v>356</v>
      </c>
      <c r="N199" t="s">
        <v>356</v>
      </c>
      <c r="O199" t="s">
        <v>356</v>
      </c>
      <c r="P199" t="s">
        <v>356</v>
      </c>
      <c r="Q199" t="s">
        <v>356</v>
      </c>
      <c r="R199" t="s">
        <v>356</v>
      </c>
      <c r="S199" t="str" cm="1">
        <f t="array" ref="S199">IFERROR(LOOKUP(2,1/(E199:R199&lt;&gt;".."),E199:R199)/100,"")</f>
        <v/>
      </c>
      <c r="T199" t="str" cm="1">
        <f t="array" ref="T199">IFERROR(--LEFT(LOOKUP(2,1/(E199:R199&lt;&gt;".."),E$1:R$1),4),"")</f>
        <v/>
      </c>
    </row>
    <row r="200" spans="1:20" x14ac:dyDescent="0.35">
      <c r="A200" t="s">
        <v>74</v>
      </c>
      <c r="B200" s="1" t="s">
        <v>106</v>
      </c>
      <c r="C200" t="s">
        <v>88</v>
      </c>
      <c r="D200" s="1" t="s">
        <v>318</v>
      </c>
      <c r="E200" t="s">
        <v>356</v>
      </c>
      <c r="F200" t="s">
        <v>356</v>
      </c>
      <c r="G200" t="s">
        <v>356</v>
      </c>
      <c r="H200" t="s">
        <v>356</v>
      </c>
      <c r="I200">
        <v>23.467829999999999</v>
      </c>
      <c r="J200">
        <v>29.64282</v>
      </c>
      <c r="K200" t="s">
        <v>356</v>
      </c>
      <c r="L200" t="s">
        <v>356</v>
      </c>
      <c r="M200" t="s">
        <v>356</v>
      </c>
      <c r="N200" t="s">
        <v>356</v>
      </c>
      <c r="O200" t="s">
        <v>356</v>
      </c>
      <c r="P200" t="s">
        <v>356</v>
      </c>
      <c r="Q200" t="s">
        <v>356</v>
      </c>
      <c r="R200" t="s">
        <v>356</v>
      </c>
      <c r="S200" cm="1">
        <f t="array" ref="S200">IFERROR(LOOKUP(2,1/(E200:R200&lt;&gt;".."),E200:R200)/100,"")</f>
        <v>0.29642820000000003</v>
      </c>
      <c r="T200" cm="1">
        <f t="array" ref="T200">IFERROR(--LEFT(LOOKUP(2,1/(E200:R200&lt;&gt;".."),E$1:R$1),4),"")</f>
        <v>2017</v>
      </c>
    </row>
    <row r="201" spans="1:20" x14ac:dyDescent="0.35">
      <c r="A201" t="s">
        <v>403</v>
      </c>
      <c r="B201" s="1" t="s">
        <v>290</v>
      </c>
      <c r="C201" t="s">
        <v>88</v>
      </c>
      <c r="D201" s="1" t="s">
        <v>318</v>
      </c>
      <c r="E201" t="s">
        <v>356</v>
      </c>
      <c r="F201" t="s">
        <v>356</v>
      </c>
      <c r="G201" t="s">
        <v>356</v>
      </c>
      <c r="H201" t="s">
        <v>356</v>
      </c>
      <c r="I201" t="s">
        <v>356</v>
      </c>
      <c r="J201">
        <v>28.739750000000001</v>
      </c>
      <c r="K201" t="s">
        <v>356</v>
      </c>
      <c r="L201" t="s">
        <v>356</v>
      </c>
      <c r="M201" t="s">
        <v>356</v>
      </c>
      <c r="N201" t="s">
        <v>356</v>
      </c>
      <c r="O201" t="s">
        <v>356</v>
      </c>
      <c r="P201" t="s">
        <v>356</v>
      </c>
      <c r="Q201" t="s">
        <v>356</v>
      </c>
      <c r="R201" t="s">
        <v>356</v>
      </c>
      <c r="S201" cm="1">
        <f t="array" ref="S201">IFERROR(LOOKUP(2,1/(E201:R201&lt;&gt;".."),E201:R201)/100,"")</f>
        <v>0.28739750000000003</v>
      </c>
      <c r="T201" cm="1">
        <f t="array" ref="T201">IFERROR(--LEFT(LOOKUP(2,1/(E201:R201&lt;&gt;".."),E$1:R$1),4),"")</f>
        <v>2017</v>
      </c>
    </row>
    <row r="202" spans="1:20" x14ac:dyDescent="0.35">
      <c r="A202" t="s">
        <v>387</v>
      </c>
      <c r="B202" s="1" t="s">
        <v>115</v>
      </c>
      <c r="C202" t="s">
        <v>88</v>
      </c>
      <c r="D202" s="1" t="s">
        <v>318</v>
      </c>
      <c r="E202">
        <v>18.079460000000001</v>
      </c>
      <c r="F202">
        <v>18.76651</v>
      </c>
      <c r="G202">
        <v>20.408989999999999</v>
      </c>
      <c r="H202">
        <v>22.265640000000001</v>
      </c>
      <c r="I202">
        <v>22.85764</v>
      </c>
      <c r="J202">
        <v>22.940819999999999</v>
      </c>
      <c r="K202">
        <v>21.65399</v>
      </c>
      <c r="L202" t="s">
        <v>356</v>
      </c>
      <c r="M202" t="s">
        <v>356</v>
      </c>
      <c r="N202" t="s">
        <v>356</v>
      </c>
      <c r="O202" t="s">
        <v>356</v>
      </c>
      <c r="P202" t="s">
        <v>356</v>
      </c>
      <c r="Q202" t="s">
        <v>356</v>
      </c>
      <c r="R202" t="s">
        <v>356</v>
      </c>
      <c r="S202" cm="1">
        <f t="array" ref="S202">IFERROR(LOOKUP(2,1/(E202:R202&lt;&gt;".."),E202:R202)/100,"")</f>
        <v>0.21653990000000001</v>
      </c>
      <c r="T202" cm="1">
        <f t="array" ref="T202">IFERROR(--LEFT(LOOKUP(2,1/(E202:R202&lt;&gt;".."),E$1:R$1),4),"")</f>
        <v>2018</v>
      </c>
    </row>
    <row r="203" spans="1:20" x14ac:dyDescent="0.35">
      <c r="A203" t="s">
        <v>118</v>
      </c>
      <c r="B203" s="1" t="s">
        <v>158</v>
      </c>
      <c r="C203" t="s">
        <v>88</v>
      </c>
      <c r="D203" s="1" t="s">
        <v>318</v>
      </c>
      <c r="E203">
        <v>26.43957</v>
      </c>
      <c r="F203">
        <v>27.48058</v>
      </c>
      <c r="G203">
        <v>27.818269999999998</v>
      </c>
      <c r="H203">
        <v>27.905080000000002</v>
      </c>
      <c r="I203">
        <v>29.023340000000001</v>
      </c>
      <c r="J203">
        <v>29.09365</v>
      </c>
      <c r="K203" t="s">
        <v>356</v>
      </c>
      <c r="L203" t="s">
        <v>356</v>
      </c>
      <c r="M203" t="s">
        <v>356</v>
      </c>
      <c r="N203" t="s">
        <v>356</v>
      </c>
      <c r="O203" t="s">
        <v>356</v>
      </c>
      <c r="P203" t="s">
        <v>356</v>
      </c>
      <c r="Q203" t="s">
        <v>356</v>
      </c>
      <c r="R203" t="s">
        <v>356</v>
      </c>
      <c r="S203" cm="1">
        <f t="array" ref="S203">IFERROR(LOOKUP(2,1/(E203:R203&lt;&gt;".."),E203:R203)/100,"")</f>
        <v>0.29093649999999999</v>
      </c>
      <c r="T203" cm="1">
        <f t="array" ref="T203">IFERROR(--LEFT(LOOKUP(2,1/(E203:R203&lt;&gt;".."),E$1:R$1),4),"")</f>
        <v>2017</v>
      </c>
    </row>
    <row r="204" spans="1:20" x14ac:dyDescent="0.35">
      <c r="A204" t="s">
        <v>367</v>
      </c>
      <c r="B204" s="1" t="s">
        <v>279</v>
      </c>
      <c r="C204" t="s">
        <v>88</v>
      </c>
      <c r="D204" s="1" t="s">
        <v>318</v>
      </c>
      <c r="E204" t="s">
        <v>356</v>
      </c>
      <c r="F204" t="s">
        <v>356</v>
      </c>
      <c r="G204" t="s">
        <v>356</v>
      </c>
      <c r="H204" t="s">
        <v>356</v>
      </c>
      <c r="I204" t="s">
        <v>356</v>
      </c>
      <c r="J204" t="s">
        <v>356</v>
      </c>
      <c r="K204" t="s">
        <v>356</v>
      </c>
      <c r="L204" t="s">
        <v>356</v>
      </c>
      <c r="M204" t="s">
        <v>356</v>
      </c>
      <c r="N204" t="s">
        <v>356</v>
      </c>
      <c r="O204" t="s">
        <v>356</v>
      </c>
      <c r="P204" t="s">
        <v>356</v>
      </c>
      <c r="Q204" t="s">
        <v>356</v>
      </c>
      <c r="R204" t="s">
        <v>356</v>
      </c>
      <c r="S204" t="str" cm="1">
        <f t="array" ref="S204">IFERROR(LOOKUP(2,1/(E204:R204&lt;&gt;".."),E204:R204)/100,"")</f>
        <v/>
      </c>
      <c r="T204" t="str" cm="1">
        <f t="array" ref="T204">IFERROR(--LEFT(LOOKUP(2,1/(E204:R204&lt;&gt;".."),E$1:R$1),4),"")</f>
        <v/>
      </c>
    </row>
    <row r="205" spans="1:20" x14ac:dyDescent="0.35">
      <c r="A205" t="s">
        <v>86</v>
      </c>
      <c r="B205" s="1" t="s">
        <v>461</v>
      </c>
      <c r="C205" t="s">
        <v>88</v>
      </c>
      <c r="D205" s="1" t="s">
        <v>318</v>
      </c>
      <c r="E205" t="s">
        <v>356</v>
      </c>
      <c r="F205" t="s">
        <v>356</v>
      </c>
      <c r="G205" t="s">
        <v>356</v>
      </c>
      <c r="H205" t="s">
        <v>356</v>
      </c>
      <c r="I205" t="s">
        <v>356</v>
      </c>
      <c r="J205" t="s">
        <v>356</v>
      </c>
      <c r="K205" t="s">
        <v>356</v>
      </c>
      <c r="L205" t="s">
        <v>356</v>
      </c>
      <c r="M205" t="s">
        <v>356</v>
      </c>
      <c r="N205" t="s">
        <v>356</v>
      </c>
      <c r="O205" t="s">
        <v>356</v>
      </c>
      <c r="P205" t="s">
        <v>356</v>
      </c>
      <c r="Q205" t="s">
        <v>356</v>
      </c>
      <c r="R205" t="s">
        <v>356</v>
      </c>
      <c r="S205" t="str" cm="1">
        <f t="array" ref="S205">IFERROR(LOOKUP(2,1/(E205:R205&lt;&gt;".."),E205:R205)/100,"")</f>
        <v/>
      </c>
      <c r="T205" t="str" cm="1">
        <f t="array" ref="T205">IFERROR(--LEFT(LOOKUP(2,1/(E205:R205&lt;&gt;".."),E$1:R$1),4),"")</f>
        <v/>
      </c>
    </row>
    <row r="206" spans="1:20" x14ac:dyDescent="0.35">
      <c r="A206" t="s">
        <v>138</v>
      </c>
      <c r="B206" s="1" t="s">
        <v>107</v>
      </c>
      <c r="C206" t="s">
        <v>88</v>
      </c>
      <c r="D206" s="1" t="s">
        <v>318</v>
      </c>
      <c r="E206">
        <v>15.932219999999999</v>
      </c>
      <c r="F206" t="s">
        <v>356</v>
      </c>
      <c r="G206">
        <v>16.848939999999999</v>
      </c>
      <c r="H206">
        <v>17.44163</v>
      </c>
      <c r="I206">
        <v>17.72662</v>
      </c>
      <c r="J206" t="s">
        <v>356</v>
      </c>
      <c r="K206">
        <v>18.146339999999999</v>
      </c>
      <c r="L206" t="s">
        <v>356</v>
      </c>
      <c r="M206" t="s">
        <v>356</v>
      </c>
      <c r="N206" t="s">
        <v>356</v>
      </c>
      <c r="O206" t="s">
        <v>356</v>
      </c>
      <c r="P206" t="s">
        <v>356</v>
      </c>
      <c r="Q206" t="s">
        <v>356</v>
      </c>
      <c r="R206" t="s">
        <v>356</v>
      </c>
      <c r="S206" cm="1">
        <f t="array" ref="S206">IFERROR(LOOKUP(2,1/(E206:R206&lt;&gt;".."),E206:R206)/100,"")</f>
        <v>0.1814634</v>
      </c>
      <c r="T206" cm="1">
        <f t="array" ref="T206">IFERROR(--LEFT(LOOKUP(2,1/(E206:R206&lt;&gt;".."),E$1:R$1),4),"")</f>
        <v>2018</v>
      </c>
    </row>
    <row r="207" spans="1:20" x14ac:dyDescent="0.35">
      <c r="A207" t="s">
        <v>340</v>
      </c>
      <c r="B207" s="1" t="s">
        <v>338</v>
      </c>
      <c r="C207" t="s">
        <v>88</v>
      </c>
      <c r="D207" s="1" t="s">
        <v>318</v>
      </c>
      <c r="E207">
        <v>33.570340000000002</v>
      </c>
      <c r="F207" t="s">
        <v>356</v>
      </c>
      <c r="G207" t="s">
        <v>356</v>
      </c>
      <c r="H207" t="s">
        <v>356</v>
      </c>
      <c r="I207">
        <v>29.703700000000001</v>
      </c>
      <c r="J207">
        <v>22.930630000000001</v>
      </c>
      <c r="K207">
        <v>22.549669999999999</v>
      </c>
      <c r="L207">
        <v>24.233550000000001</v>
      </c>
      <c r="M207" t="s">
        <v>356</v>
      </c>
      <c r="N207" t="s">
        <v>356</v>
      </c>
      <c r="O207" t="s">
        <v>356</v>
      </c>
      <c r="P207" t="s">
        <v>356</v>
      </c>
      <c r="Q207" t="s">
        <v>356</v>
      </c>
      <c r="R207" t="s">
        <v>356</v>
      </c>
      <c r="S207" cm="1">
        <f t="array" ref="S207">IFERROR(LOOKUP(2,1/(E207:R207&lt;&gt;".."),E207:R207)/100,"")</f>
        <v>0.24233550000000001</v>
      </c>
      <c r="T207" cm="1">
        <f t="array" ref="T207">IFERROR(--LEFT(LOOKUP(2,1/(E207:R207&lt;&gt;".."),E$1:R$1),4),"")</f>
        <v>2019</v>
      </c>
    </row>
    <row r="208" spans="1:20" x14ac:dyDescent="0.35">
      <c r="A208" t="s">
        <v>412</v>
      </c>
      <c r="B208" s="1" t="s">
        <v>41</v>
      </c>
      <c r="C208" t="s">
        <v>88</v>
      </c>
      <c r="D208" s="1" t="s">
        <v>318</v>
      </c>
      <c r="E208" t="s">
        <v>356</v>
      </c>
      <c r="F208">
        <v>26.783829999999998</v>
      </c>
      <c r="G208">
        <v>27.993359999999999</v>
      </c>
      <c r="H208">
        <v>28.348490000000002</v>
      </c>
      <c r="I208">
        <v>28.77131</v>
      </c>
      <c r="J208" t="s">
        <v>356</v>
      </c>
      <c r="K208" t="s">
        <v>356</v>
      </c>
      <c r="L208" t="s">
        <v>356</v>
      </c>
      <c r="M208" t="s">
        <v>356</v>
      </c>
      <c r="N208" t="s">
        <v>356</v>
      </c>
      <c r="O208" t="s">
        <v>356</v>
      </c>
      <c r="P208" t="s">
        <v>356</v>
      </c>
      <c r="Q208" t="s">
        <v>356</v>
      </c>
      <c r="R208" t="s">
        <v>356</v>
      </c>
      <c r="S208" cm="1">
        <f t="array" ref="S208">IFERROR(LOOKUP(2,1/(E208:R208&lt;&gt;".."),E208:R208)/100,"")</f>
        <v>0.2877131</v>
      </c>
      <c r="T208" cm="1">
        <f t="array" ref="T208">IFERROR(--LEFT(LOOKUP(2,1/(E208:R208&lt;&gt;".."),E$1:R$1),4),"")</f>
        <v>2016</v>
      </c>
    </row>
    <row r="209" spans="1:20" x14ac:dyDescent="0.35">
      <c r="A209" t="s">
        <v>10</v>
      </c>
      <c r="B209" s="1" t="s">
        <v>23</v>
      </c>
      <c r="C209" t="s">
        <v>88</v>
      </c>
      <c r="D209" s="1" t="s">
        <v>318</v>
      </c>
      <c r="E209" t="s">
        <v>356</v>
      </c>
      <c r="F209">
        <v>27.04776</v>
      </c>
      <c r="G209" t="s">
        <v>356</v>
      </c>
      <c r="H209">
        <v>29.018709999999999</v>
      </c>
      <c r="I209">
        <v>30.898499999999999</v>
      </c>
      <c r="J209">
        <v>29.961539999999999</v>
      </c>
      <c r="K209">
        <v>31.05893</v>
      </c>
      <c r="L209" t="s">
        <v>356</v>
      </c>
      <c r="M209" t="s">
        <v>356</v>
      </c>
      <c r="N209" t="s">
        <v>356</v>
      </c>
      <c r="O209" t="s">
        <v>356</v>
      </c>
      <c r="P209" t="s">
        <v>356</v>
      </c>
      <c r="Q209" t="s">
        <v>356</v>
      </c>
      <c r="R209" t="s">
        <v>356</v>
      </c>
      <c r="S209" cm="1">
        <f t="array" ref="S209">IFERROR(LOOKUP(2,1/(E209:R209&lt;&gt;".."),E209:R209)/100,"")</f>
        <v>0.31058930000000001</v>
      </c>
      <c r="T209" cm="1">
        <f t="array" ref="T209">IFERROR(--LEFT(LOOKUP(2,1/(E209:R209&lt;&gt;".."),E$1:R$1),4),"")</f>
        <v>2018</v>
      </c>
    </row>
    <row r="210" spans="1:20" x14ac:dyDescent="0.35">
      <c r="A210" t="s">
        <v>369</v>
      </c>
      <c r="B210" s="1" t="s">
        <v>544</v>
      </c>
      <c r="C210" t="s">
        <v>88</v>
      </c>
      <c r="D210" s="1" t="s">
        <v>318</v>
      </c>
      <c r="E210" t="s">
        <v>356</v>
      </c>
      <c r="F210" t="s">
        <v>356</v>
      </c>
      <c r="G210" t="s">
        <v>356</v>
      </c>
      <c r="H210" t="s">
        <v>356</v>
      </c>
      <c r="I210" t="s">
        <v>356</v>
      </c>
      <c r="J210">
        <v>13.751390000000001</v>
      </c>
      <c r="K210">
        <v>16.270520000000001</v>
      </c>
      <c r="L210">
        <v>12.958600000000001</v>
      </c>
      <c r="M210" t="s">
        <v>356</v>
      </c>
      <c r="N210" t="s">
        <v>356</v>
      </c>
      <c r="O210" t="s">
        <v>356</v>
      </c>
      <c r="P210" t="s">
        <v>356</v>
      </c>
      <c r="Q210" t="s">
        <v>356</v>
      </c>
      <c r="R210" t="s">
        <v>356</v>
      </c>
      <c r="S210" cm="1">
        <f t="array" ref="S210">IFERROR(LOOKUP(2,1/(E210:R210&lt;&gt;".."),E210:R210)/100,"")</f>
        <v>0.12958600000000001</v>
      </c>
      <c r="T210" cm="1">
        <f t="array" ref="T210">IFERROR(--LEFT(LOOKUP(2,1/(E210:R210&lt;&gt;".."),E$1:R$1),4),"")</f>
        <v>2019</v>
      </c>
    </row>
    <row r="211" spans="1:20" x14ac:dyDescent="0.35">
      <c r="A211" t="s">
        <v>471</v>
      </c>
      <c r="B211" s="1" t="s">
        <v>376</v>
      </c>
      <c r="C211" t="s">
        <v>88</v>
      </c>
      <c r="D211" s="1" t="s">
        <v>318</v>
      </c>
      <c r="E211" t="s">
        <v>356</v>
      </c>
      <c r="F211" t="s">
        <v>356</v>
      </c>
      <c r="G211" t="s">
        <v>356</v>
      </c>
      <c r="H211" t="s">
        <v>356</v>
      </c>
      <c r="I211" t="s">
        <v>356</v>
      </c>
      <c r="J211">
        <v>9.3155900000000003</v>
      </c>
      <c r="K211">
        <v>9.3178000000000001</v>
      </c>
      <c r="L211" t="s">
        <v>356</v>
      </c>
      <c r="M211" t="s">
        <v>356</v>
      </c>
      <c r="N211" t="s">
        <v>356</v>
      </c>
      <c r="O211" t="s">
        <v>356</v>
      </c>
      <c r="P211" t="s">
        <v>356</v>
      </c>
      <c r="Q211" t="s">
        <v>356</v>
      </c>
      <c r="R211" t="s">
        <v>356</v>
      </c>
      <c r="S211" cm="1">
        <f t="array" ref="S211">IFERROR(LOOKUP(2,1/(E211:R211&lt;&gt;".."),E211:R211)/100,"")</f>
        <v>9.3177999999999997E-2</v>
      </c>
      <c r="T211" cm="1">
        <f t="array" ref="T211">IFERROR(--LEFT(LOOKUP(2,1/(E211:R211&lt;&gt;".."),E$1:R$1),4),"")</f>
        <v>2018</v>
      </c>
    </row>
    <row r="212" spans="1:20" x14ac:dyDescent="0.35">
      <c r="A212" t="s">
        <v>185</v>
      </c>
      <c r="B212" s="1" t="s">
        <v>427</v>
      </c>
      <c r="C212" t="s">
        <v>88</v>
      </c>
      <c r="D212" s="1" t="s">
        <v>318</v>
      </c>
      <c r="E212" t="s">
        <v>356</v>
      </c>
      <c r="F212" t="s">
        <v>356</v>
      </c>
      <c r="G212" t="s">
        <v>356</v>
      </c>
      <c r="H212" t="s">
        <v>356</v>
      </c>
      <c r="I212" t="s">
        <v>356</v>
      </c>
      <c r="J212" t="s">
        <v>356</v>
      </c>
      <c r="K212">
        <v>13.73626</v>
      </c>
      <c r="L212" t="s">
        <v>356</v>
      </c>
      <c r="M212" t="s">
        <v>356</v>
      </c>
      <c r="N212" t="s">
        <v>356</v>
      </c>
      <c r="O212" t="s">
        <v>356</v>
      </c>
      <c r="P212" t="s">
        <v>356</v>
      </c>
      <c r="Q212" t="s">
        <v>356</v>
      </c>
      <c r="R212" t="s">
        <v>356</v>
      </c>
      <c r="S212" cm="1">
        <f t="array" ref="S212">IFERROR(LOOKUP(2,1/(E212:R212&lt;&gt;".."),E212:R212)/100,"")</f>
        <v>0.1373626</v>
      </c>
      <c r="T212" cm="1">
        <f t="array" ref="T212">IFERROR(--LEFT(LOOKUP(2,1/(E212:R212&lt;&gt;".."),E$1:R$1),4),"")</f>
        <v>2018</v>
      </c>
    </row>
    <row r="213" spans="1:20" x14ac:dyDescent="0.35">
      <c r="A213" t="s">
        <v>399</v>
      </c>
      <c r="B213" s="1" t="s">
        <v>319</v>
      </c>
      <c r="C213" t="s">
        <v>88</v>
      </c>
      <c r="D213" s="1" t="s">
        <v>318</v>
      </c>
      <c r="E213" t="s">
        <v>356</v>
      </c>
      <c r="F213" t="s">
        <v>356</v>
      </c>
      <c r="G213" t="s">
        <v>356</v>
      </c>
      <c r="H213" t="s">
        <v>356</v>
      </c>
      <c r="I213" t="s">
        <v>356</v>
      </c>
      <c r="J213" t="s">
        <v>356</v>
      </c>
      <c r="K213" t="s">
        <v>356</v>
      </c>
      <c r="L213" t="s">
        <v>356</v>
      </c>
      <c r="M213" t="s">
        <v>356</v>
      </c>
      <c r="N213" t="s">
        <v>356</v>
      </c>
      <c r="O213" t="s">
        <v>356</v>
      </c>
      <c r="P213" t="s">
        <v>356</v>
      </c>
      <c r="Q213" t="s">
        <v>356</v>
      </c>
      <c r="R213" t="s">
        <v>356</v>
      </c>
      <c r="S213" t="str" cm="1">
        <f t="array" ref="S213">IFERROR(LOOKUP(2,1/(E213:R213&lt;&gt;".."),E213:R213)/100,"")</f>
        <v/>
      </c>
      <c r="T213" t="str" cm="1">
        <f t="array" ref="T213">IFERROR(--LEFT(LOOKUP(2,1/(E213:R213&lt;&gt;".."),E$1:R$1),4),"")</f>
        <v/>
      </c>
    </row>
    <row r="214" spans="1:20" x14ac:dyDescent="0.35">
      <c r="A214" t="s">
        <v>459</v>
      </c>
      <c r="B214" s="1" t="s">
        <v>373</v>
      </c>
      <c r="C214" t="s">
        <v>88</v>
      </c>
      <c r="D214" s="1" t="s">
        <v>318</v>
      </c>
      <c r="E214">
        <v>29.259260000000001</v>
      </c>
      <c r="F214" t="s">
        <v>356</v>
      </c>
      <c r="G214" t="s">
        <v>356</v>
      </c>
      <c r="H214">
        <v>23.923680000000001</v>
      </c>
      <c r="I214">
        <v>23.150749999999999</v>
      </c>
      <c r="J214">
        <v>21.913640000000001</v>
      </c>
      <c r="K214">
        <v>21.136050000000001</v>
      </c>
      <c r="L214">
        <v>22.03462</v>
      </c>
      <c r="M214" t="s">
        <v>356</v>
      </c>
      <c r="N214" t="s">
        <v>356</v>
      </c>
      <c r="O214" t="s">
        <v>356</v>
      </c>
      <c r="P214" t="s">
        <v>356</v>
      </c>
      <c r="Q214" t="s">
        <v>356</v>
      </c>
      <c r="R214" t="s">
        <v>356</v>
      </c>
      <c r="S214" cm="1">
        <f t="array" ref="S214">IFERROR(LOOKUP(2,1/(E214:R214&lt;&gt;".."),E214:R214)/100,"")</f>
        <v>0.22034619999999999</v>
      </c>
      <c r="T214" cm="1">
        <f t="array" ref="T214">IFERROR(--LEFT(LOOKUP(2,1/(E214:R214&lt;&gt;".."),E$1:R$1),4),"")</f>
        <v>2019</v>
      </c>
    </row>
    <row r="215" spans="1:20" x14ac:dyDescent="0.35">
      <c r="A215" t="s">
        <v>235</v>
      </c>
      <c r="B215" s="1" t="s">
        <v>226</v>
      </c>
      <c r="C215" t="s">
        <v>88</v>
      </c>
      <c r="D215" s="1" t="s">
        <v>318</v>
      </c>
      <c r="E215" t="s">
        <v>356</v>
      </c>
      <c r="F215" t="s">
        <v>356</v>
      </c>
      <c r="G215" t="s">
        <v>356</v>
      </c>
      <c r="H215" t="s">
        <v>356</v>
      </c>
      <c r="I215" t="s">
        <v>356</v>
      </c>
      <c r="J215" t="s">
        <v>356</v>
      </c>
      <c r="K215" t="s">
        <v>356</v>
      </c>
      <c r="L215" t="s">
        <v>356</v>
      </c>
      <c r="M215" t="s">
        <v>356</v>
      </c>
      <c r="N215" t="s">
        <v>356</v>
      </c>
      <c r="O215" t="s">
        <v>356</v>
      </c>
      <c r="P215" t="s">
        <v>356</v>
      </c>
      <c r="Q215" t="s">
        <v>356</v>
      </c>
      <c r="R215" t="s">
        <v>356</v>
      </c>
      <c r="S215" t="str" cm="1">
        <f t="array" ref="S215">IFERROR(LOOKUP(2,1/(E215:R215&lt;&gt;".."),E215:R215)/100,"")</f>
        <v/>
      </c>
      <c r="T215" t="str" cm="1">
        <f t="array" ref="T215">IFERROR(--LEFT(LOOKUP(2,1/(E215:R215&lt;&gt;".."),E$1:R$1),4),"")</f>
        <v/>
      </c>
    </row>
    <row r="216" spans="1:20" x14ac:dyDescent="0.35">
      <c r="A216" t="s">
        <v>571</v>
      </c>
      <c r="B216" s="1" t="s">
        <v>205</v>
      </c>
      <c r="C216" t="s">
        <v>88</v>
      </c>
      <c r="D216" s="1" t="s">
        <v>318</v>
      </c>
      <c r="E216">
        <v>26.1768</v>
      </c>
      <c r="F216" t="s">
        <v>356</v>
      </c>
      <c r="G216" t="s">
        <v>356</v>
      </c>
      <c r="H216">
        <v>25.876719999999999</v>
      </c>
      <c r="I216">
        <v>25.90907</v>
      </c>
      <c r="J216">
        <v>26.637720000000002</v>
      </c>
      <c r="K216">
        <v>28.126239999999999</v>
      </c>
      <c r="L216">
        <v>28.354679999999998</v>
      </c>
      <c r="M216" t="s">
        <v>356</v>
      </c>
      <c r="N216" t="s">
        <v>356</v>
      </c>
      <c r="O216" t="s">
        <v>356</v>
      </c>
      <c r="P216" t="s">
        <v>356</v>
      </c>
      <c r="Q216" t="s">
        <v>356</v>
      </c>
      <c r="R216" t="s">
        <v>356</v>
      </c>
      <c r="S216" cm="1">
        <f t="array" ref="S216">IFERROR(LOOKUP(2,1/(E216:R216&lt;&gt;".."),E216:R216)/100,"")</f>
        <v>0.28354679999999999</v>
      </c>
      <c r="T216" cm="1">
        <f t="array" ref="T216">IFERROR(--LEFT(LOOKUP(2,1/(E216:R216&lt;&gt;".."),E$1:R$1),4),"")</f>
        <v>2019</v>
      </c>
    </row>
    <row r="217" spans="1:20" x14ac:dyDescent="0.35">
      <c r="A217" t="s">
        <v>304</v>
      </c>
      <c r="B217" s="1" t="s">
        <v>114</v>
      </c>
      <c r="C217" t="s">
        <v>88</v>
      </c>
      <c r="D217" s="1" t="s">
        <v>318</v>
      </c>
      <c r="E217">
        <v>0</v>
      </c>
      <c r="F217" t="s">
        <v>356</v>
      </c>
      <c r="G217" t="s">
        <v>356</v>
      </c>
      <c r="H217">
        <v>15.55556</v>
      </c>
      <c r="I217">
        <v>16.23377</v>
      </c>
      <c r="J217">
        <v>15.69767</v>
      </c>
      <c r="K217">
        <v>17.233560000000001</v>
      </c>
      <c r="L217">
        <v>19.851579999999998</v>
      </c>
      <c r="M217" t="s">
        <v>356</v>
      </c>
      <c r="N217" t="s">
        <v>356</v>
      </c>
      <c r="O217" t="s">
        <v>356</v>
      </c>
      <c r="P217" t="s">
        <v>356</v>
      </c>
      <c r="Q217" t="s">
        <v>356</v>
      </c>
      <c r="R217" t="s">
        <v>356</v>
      </c>
      <c r="S217" cm="1">
        <f t="array" ref="S217">IFERROR(LOOKUP(2,1/(E217:R217&lt;&gt;".."),E217:R217)/100,"")</f>
        <v>0.19851579999999999</v>
      </c>
      <c r="T217" cm="1">
        <f t="array" ref="T217">IFERROR(--LEFT(LOOKUP(2,1/(E217:R217&lt;&gt;".."),E$1:R$1),4),"")</f>
        <v>2019</v>
      </c>
    </row>
    <row r="218" spans="1:20" x14ac:dyDescent="0.35">
      <c r="A218" t="s">
        <v>166</v>
      </c>
      <c r="B218" s="1" t="s">
        <v>305</v>
      </c>
      <c r="C218" t="s">
        <v>88</v>
      </c>
      <c r="D218" s="1" t="s">
        <v>318</v>
      </c>
      <c r="E218" t="s">
        <v>356</v>
      </c>
      <c r="F218" t="s">
        <v>356</v>
      </c>
      <c r="G218" t="s">
        <v>356</v>
      </c>
      <c r="H218" t="s">
        <v>356</v>
      </c>
      <c r="I218" t="s">
        <v>356</v>
      </c>
      <c r="J218" t="s">
        <v>356</v>
      </c>
      <c r="K218" t="s">
        <v>356</v>
      </c>
      <c r="L218" t="s">
        <v>356</v>
      </c>
      <c r="M218" t="s">
        <v>356</v>
      </c>
      <c r="N218" t="s">
        <v>356</v>
      </c>
      <c r="O218" t="s">
        <v>356</v>
      </c>
      <c r="P218" t="s">
        <v>356</v>
      </c>
      <c r="Q218" t="s">
        <v>356</v>
      </c>
      <c r="R218" t="s">
        <v>356</v>
      </c>
      <c r="S218" t="str" cm="1">
        <f t="array" ref="S218">IFERROR(LOOKUP(2,1/(E218:R218&lt;&gt;".."),E218:R218)/100,"")</f>
        <v/>
      </c>
      <c r="T218" t="str" cm="1">
        <f t="array" ref="T218">IFERROR(--LEFT(LOOKUP(2,1/(E218:R218&lt;&gt;".."),E$1:R$1),4),"")</f>
        <v/>
      </c>
    </row>
    <row r="219" spans="1:20" x14ac:dyDescent="0.35">
      <c r="A219" t="s">
        <v>154</v>
      </c>
      <c r="B219" s="1" t="s">
        <v>187</v>
      </c>
      <c r="C219" t="s">
        <v>88</v>
      </c>
      <c r="D219" s="1" t="s">
        <v>318</v>
      </c>
      <c r="E219" t="s">
        <v>356</v>
      </c>
      <c r="F219" t="s">
        <v>356</v>
      </c>
      <c r="G219" t="s">
        <v>356</v>
      </c>
      <c r="H219" t="s">
        <v>356</v>
      </c>
      <c r="I219">
        <v>34.501480000000001</v>
      </c>
      <c r="J219">
        <v>34.929259999999999</v>
      </c>
      <c r="K219">
        <v>33.479179999999999</v>
      </c>
      <c r="L219" t="s">
        <v>356</v>
      </c>
      <c r="M219" t="s">
        <v>356</v>
      </c>
      <c r="N219" t="s">
        <v>356</v>
      </c>
      <c r="O219" t="s">
        <v>356</v>
      </c>
      <c r="P219" t="s">
        <v>356</v>
      </c>
      <c r="Q219" t="s">
        <v>356</v>
      </c>
      <c r="R219" t="s">
        <v>356</v>
      </c>
      <c r="S219" cm="1">
        <f t="array" ref="S219">IFERROR(LOOKUP(2,1/(E219:R219&lt;&gt;".."),E219:R219)/100,"")</f>
        <v>0.33479179999999997</v>
      </c>
      <c r="T219" cm="1">
        <f t="array" ref="T219">IFERROR(--LEFT(LOOKUP(2,1/(E219:R219&lt;&gt;".."),E$1:R$1),4),"")</f>
        <v>2018</v>
      </c>
    </row>
    <row r="220" spans="1:20" x14ac:dyDescent="0.35">
      <c r="A220" t="s">
        <v>15</v>
      </c>
      <c r="B220" s="1" t="s">
        <v>424</v>
      </c>
      <c r="C220" t="s">
        <v>88</v>
      </c>
      <c r="D220" s="1" t="s">
        <v>318</v>
      </c>
      <c r="E220" t="s">
        <v>356</v>
      </c>
      <c r="F220" t="s">
        <v>356</v>
      </c>
      <c r="G220" t="s">
        <v>356</v>
      </c>
      <c r="H220">
        <v>8.5106400000000004</v>
      </c>
      <c r="I220" t="s">
        <v>356</v>
      </c>
      <c r="J220" t="s">
        <v>356</v>
      </c>
      <c r="K220" t="s">
        <v>356</v>
      </c>
      <c r="L220" t="s">
        <v>356</v>
      </c>
      <c r="M220" t="s">
        <v>356</v>
      </c>
      <c r="N220" t="s">
        <v>356</v>
      </c>
      <c r="O220" t="s">
        <v>356</v>
      </c>
      <c r="P220" t="s">
        <v>356</v>
      </c>
      <c r="Q220" t="s">
        <v>356</v>
      </c>
      <c r="R220" t="s">
        <v>356</v>
      </c>
      <c r="S220" cm="1">
        <f t="array" ref="S220">IFERROR(LOOKUP(2,1/(E220:R220&lt;&gt;".."),E220:R220)/100,"")</f>
        <v>8.5106399999999999E-2</v>
      </c>
      <c r="T220" cm="1">
        <f t="array" ref="T220">IFERROR(--LEFT(LOOKUP(2,1/(E220:R220&lt;&gt;".."),E$1:R$1),4),"")</f>
        <v>2015</v>
      </c>
    </row>
    <row r="221" spans="1:20" x14ac:dyDescent="0.35">
      <c r="A221" t="s">
        <v>120</v>
      </c>
      <c r="B221" s="1" t="s">
        <v>465</v>
      </c>
      <c r="C221" t="s">
        <v>88</v>
      </c>
      <c r="D221" s="1" t="s">
        <v>318</v>
      </c>
      <c r="E221">
        <v>21.082159999999998</v>
      </c>
      <c r="F221">
        <v>20.99213</v>
      </c>
      <c r="G221">
        <v>20.835730000000002</v>
      </c>
      <c r="H221">
        <v>21.1403</v>
      </c>
      <c r="I221" t="s">
        <v>356</v>
      </c>
      <c r="J221">
        <v>21.172609999999999</v>
      </c>
      <c r="K221">
        <v>22.07255</v>
      </c>
      <c r="L221" t="s">
        <v>356</v>
      </c>
      <c r="M221" t="s">
        <v>356</v>
      </c>
      <c r="N221" t="s">
        <v>356</v>
      </c>
      <c r="O221" t="s">
        <v>356</v>
      </c>
      <c r="P221" t="s">
        <v>356</v>
      </c>
      <c r="Q221" t="s">
        <v>356</v>
      </c>
      <c r="R221" t="s">
        <v>356</v>
      </c>
      <c r="S221" cm="1">
        <f t="array" ref="S221">IFERROR(LOOKUP(2,1/(E221:R221&lt;&gt;".."),E221:R221)/100,"")</f>
        <v>0.22072549999999999</v>
      </c>
      <c r="T221" cm="1">
        <f t="array" ref="T221">IFERROR(--LEFT(LOOKUP(2,1/(E221:R221&lt;&gt;".."),E$1:R$1),4),"")</f>
        <v>2018</v>
      </c>
    </row>
    <row r="222" spans="1:20" x14ac:dyDescent="0.35">
      <c r="A222" t="s">
        <v>24</v>
      </c>
      <c r="B222" s="1" t="s">
        <v>20</v>
      </c>
      <c r="C222" t="s">
        <v>88</v>
      </c>
      <c r="D222" s="1" t="s">
        <v>318</v>
      </c>
      <c r="E222">
        <v>25.46611</v>
      </c>
      <c r="F222">
        <v>27.100359999999998</v>
      </c>
      <c r="G222">
        <v>26.789840000000002</v>
      </c>
      <c r="H222">
        <v>25.6508</v>
      </c>
      <c r="I222" t="s">
        <v>356</v>
      </c>
      <c r="J222">
        <v>26.613199999999999</v>
      </c>
      <c r="K222">
        <v>27.230219999999999</v>
      </c>
      <c r="L222" t="s">
        <v>356</v>
      </c>
      <c r="M222" t="s">
        <v>356</v>
      </c>
      <c r="N222" t="s">
        <v>356</v>
      </c>
      <c r="O222" t="s">
        <v>356</v>
      </c>
      <c r="P222" t="s">
        <v>356</v>
      </c>
      <c r="Q222" t="s">
        <v>356</v>
      </c>
      <c r="R222" t="s">
        <v>356</v>
      </c>
      <c r="S222" cm="1">
        <f t="array" ref="S222">IFERROR(LOOKUP(2,1/(E222:R222&lt;&gt;".."),E222:R222)/100,"")</f>
        <v>0.27230219999999999</v>
      </c>
      <c r="T222" cm="1">
        <f t="array" ref="T222">IFERROR(--LEFT(LOOKUP(2,1/(E222:R222&lt;&gt;".."),E$1:R$1),4),"")</f>
        <v>2018</v>
      </c>
    </row>
    <row r="223" spans="1:20" x14ac:dyDescent="0.35">
      <c r="A223" t="s">
        <v>137</v>
      </c>
      <c r="B223" s="1" t="s">
        <v>62</v>
      </c>
      <c r="C223" t="s">
        <v>88</v>
      </c>
      <c r="D223" s="1" t="s">
        <v>318</v>
      </c>
      <c r="E223" t="s">
        <v>356</v>
      </c>
      <c r="F223" t="s">
        <v>356</v>
      </c>
      <c r="G223" t="s">
        <v>356</v>
      </c>
      <c r="H223" t="s">
        <v>356</v>
      </c>
      <c r="I223" t="s">
        <v>356</v>
      </c>
      <c r="J223" t="s">
        <v>356</v>
      </c>
      <c r="K223" t="s">
        <v>356</v>
      </c>
      <c r="L223" t="s">
        <v>356</v>
      </c>
      <c r="M223" t="s">
        <v>356</v>
      </c>
      <c r="N223" t="s">
        <v>356</v>
      </c>
      <c r="O223" t="s">
        <v>356</v>
      </c>
      <c r="P223" t="s">
        <v>356</v>
      </c>
      <c r="Q223" t="s">
        <v>356</v>
      </c>
      <c r="R223" t="s">
        <v>356</v>
      </c>
      <c r="S223" t="str" cm="1">
        <f t="array" ref="S223">IFERROR(LOOKUP(2,1/(E223:R223&lt;&gt;".."),E223:R223)/100,"")</f>
        <v/>
      </c>
      <c r="T223" t="str" cm="1">
        <f t="array" ref="T223">IFERROR(--LEFT(LOOKUP(2,1/(E223:R223&lt;&gt;".."),E$1:R$1),4),"")</f>
        <v/>
      </c>
    </row>
    <row r="224" spans="1:20" x14ac:dyDescent="0.35">
      <c r="A224" t="s">
        <v>370</v>
      </c>
      <c r="B224" s="1" t="s">
        <v>504</v>
      </c>
      <c r="C224" t="s">
        <v>88</v>
      </c>
      <c r="D224" s="1" t="s">
        <v>318</v>
      </c>
      <c r="E224" t="s">
        <v>356</v>
      </c>
      <c r="F224" t="s">
        <v>356</v>
      </c>
      <c r="G224" t="s">
        <v>356</v>
      </c>
      <c r="H224" t="s">
        <v>356</v>
      </c>
      <c r="I224" t="s">
        <v>356</v>
      </c>
      <c r="J224" t="s">
        <v>356</v>
      </c>
      <c r="K224" t="s">
        <v>356</v>
      </c>
      <c r="L224" t="s">
        <v>356</v>
      </c>
      <c r="M224" t="s">
        <v>356</v>
      </c>
      <c r="N224" t="s">
        <v>356</v>
      </c>
      <c r="O224" t="s">
        <v>356</v>
      </c>
      <c r="P224" t="s">
        <v>356</v>
      </c>
      <c r="Q224" t="s">
        <v>356</v>
      </c>
      <c r="R224" t="s">
        <v>356</v>
      </c>
      <c r="S224" t="str" cm="1">
        <f t="array" ref="S224">IFERROR(LOOKUP(2,1/(E224:R224&lt;&gt;".."),E224:R224)/100,"")</f>
        <v/>
      </c>
      <c r="T224" t="str" cm="1">
        <f t="array" ref="T224">IFERROR(--LEFT(LOOKUP(2,1/(E224:R224&lt;&gt;".."),E$1:R$1),4),"")</f>
        <v/>
      </c>
    </row>
    <row r="225" spans="1:20" x14ac:dyDescent="0.35">
      <c r="A225" t="s">
        <v>119</v>
      </c>
      <c r="B225" s="1" t="s">
        <v>351</v>
      </c>
      <c r="C225" t="s">
        <v>88</v>
      </c>
      <c r="D225" s="1" t="s">
        <v>318</v>
      </c>
      <c r="E225" t="s">
        <v>356</v>
      </c>
      <c r="F225" t="s">
        <v>356</v>
      </c>
      <c r="G225" t="s">
        <v>356</v>
      </c>
      <c r="H225" t="s">
        <v>356</v>
      </c>
      <c r="I225" t="s">
        <v>356</v>
      </c>
      <c r="J225" t="s">
        <v>356</v>
      </c>
      <c r="K225" t="s">
        <v>356</v>
      </c>
      <c r="L225" t="s">
        <v>356</v>
      </c>
      <c r="M225" t="s">
        <v>356</v>
      </c>
      <c r="N225" t="s">
        <v>356</v>
      </c>
      <c r="O225" t="s">
        <v>356</v>
      </c>
      <c r="P225" t="s">
        <v>356</v>
      </c>
      <c r="Q225" t="s">
        <v>356</v>
      </c>
      <c r="R225" t="s">
        <v>356</v>
      </c>
      <c r="S225" t="str" cm="1">
        <f t="array" ref="S225">IFERROR(LOOKUP(2,1/(E225:R225&lt;&gt;".."),E225:R225)/100,"")</f>
        <v/>
      </c>
      <c r="T225" t="str" cm="1">
        <f t="array" ref="T225">IFERROR(--LEFT(LOOKUP(2,1/(E225:R225&lt;&gt;".."),E$1:R$1),4),"")</f>
        <v/>
      </c>
    </row>
    <row r="226" spans="1:20" x14ac:dyDescent="0.35">
      <c r="A226" t="s">
        <v>117</v>
      </c>
      <c r="B226" s="1" t="s">
        <v>542</v>
      </c>
      <c r="C226" t="s">
        <v>88</v>
      </c>
      <c r="D226" s="1" t="s">
        <v>318</v>
      </c>
      <c r="E226" t="s">
        <v>356</v>
      </c>
      <c r="F226" t="s">
        <v>356</v>
      </c>
      <c r="G226">
        <v>19.551500000000001</v>
      </c>
      <c r="H226">
        <v>19.588840000000001</v>
      </c>
      <c r="I226">
        <v>18.48507</v>
      </c>
      <c r="J226">
        <v>18.572340000000001</v>
      </c>
      <c r="K226">
        <v>18.281189999999999</v>
      </c>
      <c r="L226" t="s">
        <v>356</v>
      </c>
      <c r="M226" t="s">
        <v>356</v>
      </c>
      <c r="N226" t="s">
        <v>356</v>
      </c>
      <c r="O226" t="s">
        <v>356</v>
      </c>
      <c r="P226" t="s">
        <v>356</v>
      </c>
      <c r="Q226" t="s">
        <v>356</v>
      </c>
      <c r="R226" t="s">
        <v>356</v>
      </c>
      <c r="S226" cm="1">
        <f t="array" ref="S226">IFERROR(LOOKUP(2,1/(E226:R226&lt;&gt;".."),E226:R226)/100,"")</f>
        <v>0.1828119</v>
      </c>
      <c r="T226" cm="1">
        <f t="array" ref="T226">IFERROR(--LEFT(LOOKUP(2,1/(E226:R226&lt;&gt;".."),E$1:R$1),4),"")</f>
        <v>2018</v>
      </c>
    </row>
    <row r="227" spans="1:20" x14ac:dyDescent="0.35">
      <c r="A227" t="s">
        <v>258</v>
      </c>
      <c r="B227" s="1" t="s">
        <v>58</v>
      </c>
      <c r="C227" t="s">
        <v>88</v>
      </c>
      <c r="D227" s="1" t="s">
        <v>318</v>
      </c>
      <c r="E227" t="s">
        <v>356</v>
      </c>
      <c r="F227" t="s">
        <v>356</v>
      </c>
      <c r="G227" t="s">
        <v>356</v>
      </c>
      <c r="H227" t="s">
        <v>356</v>
      </c>
      <c r="I227" t="s">
        <v>356</v>
      </c>
      <c r="J227" t="s">
        <v>356</v>
      </c>
      <c r="K227" t="s">
        <v>356</v>
      </c>
      <c r="L227" t="s">
        <v>356</v>
      </c>
      <c r="M227" t="s">
        <v>356</v>
      </c>
      <c r="N227" t="s">
        <v>356</v>
      </c>
      <c r="O227" t="s">
        <v>356</v>
      </c>
      <c r="P227" t="s">
        <v>356</v>
      </c>
      <c r="Q227" t="s">
        <v>356</v>
      </c>
      <c r="R227" t="s">
        <v>356</v>
      </c>
      <c r="S227" t="str" cm="1">
        <f t="array" ref="S227">IFERROR(LOOKUP(2,1/(E227:R227&lt;&gt;".."),E227:R227)/100,"")</f>
        <v/>
      </c>
      <c r="T227" t="str" cm="1">
        <f t="array" ref="T227">IFERROR(--LEFT(LOOKUP(2,1/(E227:R227&lt;&gt;".."),E$1:R$1),4),"")</f>
        <v/>
      </c>
    </row>
    <row r="228" spans="1:20" x14ac:dyDescent="0.35">
      <c r="A228" t="s">
        <v>345</v>
      </c>
      <c r="B228" s="1" t="s">
        <v>457</v>
      </c>
      <c r="C228" t="s">
        <v>88</v>
      </c>
      <c r="D228" s="1" t="s">
        <v>318</v>
      </c>
      <c r="E228" t="s">
        <v>356</v>
      </c>
      <c r="F228" t="s">
        <v>356</v>
      </c>
      <c r="G228" t="s">
        <v>356</v>
      </c>
      <c r="H228" t="s">
        <v>356</v>
      </c>
      <c r="I228" t="s">
        <v>356</v>
      </c>
      <c r="J228" t="s">
        <v>356</v>
      </c>
      <c r="K228" t="s">
        <v>356</v>
      </c>
      <c r="L228" t="s">
        <v>356</v>
      </c>
      <c r="M228" t="s">
        <v>356</v>
      </c>
      <c r="N228" t="s">
        <v>356</v>
      </c>
      <c r="O228" t="s">
        <v>356</v>
      </c>
      <c r="P228" t="s">
        <v>356</v>
      </c>
      <c r="Q228" t="s">
        <v>356</v>
      </c>
      <c r="R228" t="s">
        <v>356</v>
      </c>
      <c r="S228" t="str" cm="1">
        <f t="array" ref="S228">IFERROR(LOOKUP(2,1/(E228:R228&lt;&gt;".."),E228:R228)/100,"")</f>
        <v/>
      </c>
      <c r="T228" t="str" cm="1">
        <f t="array" ref="T228">IFERROR(--LEFT(LOOKUP(2,1/(E228:R228&lt;&gt;".."),E$1:R$1),4),"")</f>
        <v/>
      </c>
    </row>
    <row r="229" spans="1:20" x14ac:dyDescent="0.35">
      <c r="A229" t="s">
        <v>92</v>
      </c>
      <c r="B229" s="1" t="s">
        <v>269</v>
      </c>
      <c r="C229" t="s">
        <v>88</v>
      </c>
      <c r="D229" s="1" t="s">
        <v>318</v>
      </c>
      <c r="E229" t="s">
        <v>356</v>
      </c>
      <c r="F229" t="s">
        <v>356</v>
      </c>
      <c r="G229" t="s">
        <v>356</v>
      </c>
      <c r="H229" t="s">
        <v>356</v>
      </c>
      <c r="I229" t="s">
        <v>356</v>
      </c>
      <c r="J229" t="s">
        <v>356</v>
      </c>
      <c r="K229" t="s">
        <v>356</v>
      </c>
      <c r="L229" t="s">
        <v>356</v>
      </c>
      <c r="M229" t="s">
        <v>356</v>
      </c>
      <c r="N229" t="s">
        <v>356</v>
      </c>
      <c r="O229" t="s">
        <v>356</v>
      </c>
      <c r="P229" t="s">
        <v>356</v>
      </c>
      <c r="Q229" t="s">
        <v>356</v>
      </c>
      <c r="R229" t="s">
        <v>356</v>
      </c>
      <c r="S229" t="str" cm="1">
        <f t="array" ref="S229">IFERROR(LOOKUP(2,1/(E229:R229&lt;&gt;".."),E229:R229)/100,"")</f>
        <v/>
      </c>
      <c r="T229" t="str" cm="1">
        <f t="array" ref="T229">IFERROR(--LEFT(LOOKUP(2,1/(E229:R229&lt;&gt;".."),E$1:R$1),4),"")</f>
        <v/>
      </c>
    </row>
    <row r="230" spans="1:20" x14ac:dyDescent="0.35">
      <c r="A230" t="s">
        <v>416</v>
      </c>
      <c r="B230" s="1" t="s">
        <v>407</v>
      </c>
      <c r="C230" t="s">
        <v>88</v>
      </c>
      <c r="D230" s="1" t="s">
        <v>318</v>
      </c>
      <c r="E230">
        <v>22.785450000000001</v>
      </c>
      <c r="F230">
        <v>25.782240000000002</v>
      </c>
      <c r="G230">
        <v>24.656849999999999</v>
      </c>
      <c r="H230">
        <v>25.374359999999999</v>
      </c>
      <c r="I230">
        <v>23.880400000000002</v>
      </c>
      <c r="J230">
        <v>23.45458</v>
      </c>
      <c r="K230">
        <v>22.266649999999998</v>
      </c>
      <c r="L230" t="s">
        <v>356</v>
      </c>
      <c r="M230" t="s">
        <v>356</v>
      </c>
      <c r="N230" t="s">
        <v>356</v>
      </c>
      <c r="O230" t="s">
        <v>356</v>
      </c>
      <c r="P230" t="s">
        <v>356</v>
      </c>
      <c r="Q230" t="s">
        <v>356</v>
      </c>
      <c r="R230" t="s">
        <v>356</v>
      </c>
      <c r="S230" cm="1">
        <f t="array" ref="S230">IFERROR(LOOKUP(2,1/(E230:R230&lt;&gt;".."),E230:R230)/100,"")</f>
        <v>0.22266649999999999</v>
      </c>
      <c r="T230" cm="1">
        <f t="array" ref="T230">IFERROR(--LEFT(LOOKUP(2,1/(E230:R230&lt;&gt;".."),E$1:R$1),4),"")</f>
        <v>2018</v>
      </c>
    </row>
    <row r="231" spans="1:20" x14ac:dyDescent="0.35">
      <c r="A231" t="s">
        <v>149</v>
      </c>
      <c r="B231" s="1" t="s">
        <v>418</v>
      </c>
      <c r="C231" t="s">
        <v>88</v>
      </c>
      <c r="D231" s="1" t="s">
        <v>318</v>
      </c>
      <c r="E231" t="s">
        <v>356</v>
      </c>
      <c r="F231" t="s">
        <v>356</v>
      </c>
      <c r="G231" t="s">
        <v>356</v>
      </c>
      <c r="H231" t="s">
        <v>356</v>
      </c>
      <c r="I231" t="s">
        <v>356</v>
      </c>
      <c r="J231" t="s">
        <v>356</v>
      </c>
      <c r="K231" t="s">
        <v>356</v>
      </c>
      <c r="L231" t="s">
        <v>356</v>
      </c>
      <c r="M231" t="s">
        <v>356</v>
      </c>
      <c r="N231" t="s">
        <v>356</v>
      </c>
      <c r="O231" t="s">
        <v>356</v>
      </c>
      <c r="P231" t="s">
        <v>356</v>
      </c>
      <c r="Q231" t="s">
        <v>356</v>
      </c>
      <c r="R231" t="s">
        <v>356</v>
      </c>
      <c r="S231" t="str" cm="1">
        <f t="array" ref="S231">IFERROR(LOOKUP(2,1/(E231:R231&lt;&gt;".."),E231:R231)/100,"")</f>
        <v/>
      </c>
      <c r="T231" t="str" cm="1">
        <f t="array" ref="T231">IFERROR(--LEFT(LOOKUP(2,1/(E231:R231&lt;&gt;".."),E$1:R$1),4),"")</f>
        <v/>
      </c>
    </row>
    <row r="232" spans="1:20" x14ac:dyDescent="0.35">
      <c r="A232" t="s">
        <v>453</v>
      </c>
      <c r="B232" s="1" t="s">
        <v>568</v>
      </c>
      <c r="C232" t="s">
        <v>88</v>
      </c>
      <c r="D232" s="1" t="s">
        <v>318</v>
      </c>
      <c r="E232" t="s">
        <v>356</v>
      </c>
      <c r="F232" t="s">
        <v>356</v>
      </c>
      <c r="G232" t="s">
        <v>356</v>
      </c>
      <c r="H232" t="s">
        <v>356</v>
      </c>
      <c r="I232" t="s">
        <v>356</v>
      </c>
      <c r="J232" t="s">
        <v>356</v>
      </c>
      <c r="K232" t="s">
        <v>356</v>
      </c>
      <c r="L232" t="s">
        <v>356</v>
      </c>
      <c r="M232" t="s">
        <v>356</v>
      </c>
      <c r="N232" t="s">
        <v>356</v>
      </c>
      <c r="O232" t="s">
        <v>356</v>
      </c>
      <c r="P232" t="s">
        <v>356</v>
      </c>
      <c r="Q232" t="s">
        <v>356</v>
      </c>
      <c r="R232" t="s">
        <v>356</v>
      </c>
      <c r="S232" t="str" cm="1">
        <f t="array" ref="S232">IFERROR(LOOKUP(2,1/(E232:R232&lt;&gt;".."),E232:R232)/100,"")</f>
        <v/>
      </c>
      <c r="T232" t="str" cm="1">
        <f t="array" ref="T232">IFERROR(--LEFT(LOOKUP(2,1/(E232:R232&lt;&gt;".."),E$1:R$1),4),"")</f>
        <v/>
      </c>
    </row>
    <row r="233" spans="1:20" x14ac:dyDescent="0.35">
      <c r="A233" t="s">
        <v>1</v>
      </c>
      <c r="B233" s="1" t="s">
        <v>468</v>
      </c>
      <c r="C233" t="s">
        <v>88</v>
      </c>
      <c r="D233" s="1" t="s">
        <v>318</v>
      </c>
      <c r="E233" t="s">
        <v>356</v>
      </c>
      <c r="F233" t="s">
        <v>356</v>
      </c>
      <c r="G233" t="s">
        <v>356</v>
      </c>
      <c r="H233" t="s">
        <v>356</v>
      </c>
      <c r="I233" t="s">
        <v>356</v>
      </c>
      <c r="J233" t="s">
        <v>356</v>
      </c>
      <c r="K233" t="s">
        <v>356</v>
      </c>
      <c r="L233" t="s">
        <v>356</v>
      </c>
      <c r="M233" t="s">
        <v>356</v>
      </c>
      <c r="N233" t="s">
        <v>356</v>
      </c>
      <c r="O233" t="s">
        <v>356</v>
      </c>
      <c r="P233" t="s">
        <v>356</v>
      </c>
      <c r="Q233" t="s">
        <v>356</v>
      </c>
      <c r="R233" t="s">
        <v>356</v>
      </c>
      <c r="S233" t="str" cm="1">
        <f t="array" ref="S233">IFERROR(LOOKUP(2,1/(E233:R233&lt;&gt;".."),E233:R233)/100,"")</f>
        <v/>
      </c>
      <c r="T233" t="str" cm="1">
        <f t="array" ref="T233">IFERROR(--LEFT(LOOKUP(2,1/(E233:R233&lt;&gt;".."),E$1:R$1),4),"")</f>
        <v/>
      </c>
    </row>
    <row r="234" spans="1:20" x14ac:dyDescent="0.35">
      <c r="A234" t="s">
        <v>572</v>
      </c>
      <c r="B234" s="1" t="s">
        <v>509</v>
      </c>
      <c r="C234" t="s">
        <v>88</v>
      </c>
      <c r="D234" s="1" t="s">
        <v>318</v>
      </c>
      <c r="E234" t="s">
        <v>356</v>
      </c>
      <c r="F234" t="s">
        <v>356</v>
      </c>
      <c r="G234" t="s">
        <v>356</v>
      </c>
      <c r="H234" t="s">
        <v>356</v>
      </c>
      <c r="I234" t="s">
        <v>356</v>
      </c>
      <c r="J234" t="s">
        <v>356</v>
      </c>
      <c r="K234" t="s">
        <v>356</v>
      </c>
      <c r="L234" t="s">
        <v>356</v>
      </c>
      <c r="M234" t="s">
        <v>356</v>
      </c>
      <c r="N234" t="s">
        <v>356</v>
      </c>
      <c r="O234" t="s">
        <v>356</v>
      </c>
      <c r="P234" t="s">
        <v>356</v>
      </c>
      <c r="Q234" t="s">
        <v>356</v>
      </c>
      <c r="R234" t="s">
        <v>356</v>
      </c>
      <c r="S234" t="str" cm="1">
        <f t="array" ref="S234">IFERROR(LOOKUP(2,1/(E234:R234&lt;&gt;".."),E234:R234)/100,"")</f>
        <v/>
      </c>
      <c r="T234" t="str" cm="1">
        <f t="array" ref="T234">IFERROR(--LEFT(LOOKUP(2,1/(E234:R234&lt;&gt;".."),E$1:R$1),4),"")</f>
        <v/>
      </c>
    </row>
    <row r="235" spans="1:20" x14ac:dyDescent="0.35">
      <c r="A235" t="s">
        <v>449</v>
      </c>
      <c r="B235" s="1" t="s">
        <v>311</v>
      </c>
      <c r="C235" t="s">
        <v>88</v>
      </c>
      <c r="D235" s="1" t="s">
        <v>318</v>
      </c>
      <c r="E235" t="s">
        <v>356</v>
      </c>
      <c r="F235" t="s">
        <v>356</v>
      </c>
      <c r="G235" t="s">
        <v>356</v>
      </c>
      <c r="H235" t="s">
        <v>356</v>
      </c>
      <c r="I235" t="s">
        <v>356</v>
      </c>
      <c r="J235" t="s">
        <v>356</v>
      </c>
      <c r="K235" t="s">
        <v>356</v>
      </c>
      <c r="L235" t="s">
        <v>356</v>
      </c>
      <c r="M235" t="s">
        <v>356</v>
      </c>
      <c r="N235" t="s">
        <v>356</v>
      </c>
      <c r="O235" t="s">
        <v>356</v>
      </c>
      <c r="P235" t="s">
        <v>356</v>
      </c>
      <c r="Q235" t="s">
        <v>356</v>
      </c>
      <c r="R235" t="s">
        <v>356</v>
      </c>
      <c r="S235" t="str" cm="1">
        <f t="array" ref="S235">IFERROR(LOOKUP(2,1/(E235:R235&lt;&gt;".."),E235:R235)/100,"")</f>
        <v/>
      </c>
      <c r="T235" t="str" cm="1">
        <f t="array" ref="T235">IFERROR(--LEFT(LOOKUP(2,1/(E235:R235&lt;&gt;".."),E$1:R$1),4),"")</f>
        <v/>
      </c>
    </row>
    <row r="236" spans="1:20" x14ac:dyDescent="0.35">
      <c r="A236" t="s">
        <v>562</v>
      </c>
      <c r="B236" s="1" t="s">
        <v>564</v>
      </c>
      <c r="C236" t="s">
        <v>88</v>
      </c>
      <c r="D236" s="1" t="s">
        <v>318</v>
      </c>
      <c r="E236" t="s">
        <v>356</v>
      </c>
      <c r="F236" t="s">
        <v>356</v>
      </c>
      <c r="G236" t="s">
        <v>356</v>
      </c>
      <c r="H236" t="s">
        <v>356</v>
      </c>
      <c r="I236" t="s">
        <v>356</v>
      </c>
      <c r="J236" t="s">
        <v>356</v>
      </c>
      <c r="K236" t="s">
        <v>356</v>
      </c>
      <c r="L236" t="s">
        <v>356</v>
      </c>
      <c r="M236" t="s">
        <v>356</v>
      </c>
      <c r="N236" t="s">
        <v>356</v>
      </c>
      <c r="O236" t="s">
        <v>356</v>
      </c>
      <c r="P236" t="s">
        <v>356</v>
      </c>
      <c r="Q236" t="s">
        <v>356</v>
      </c>
      <c r="R236" t="s">
        <v>356</v>
      </c>
      <c r="S236" t="str" cm="1">
        <f t="array" ref="S236">IFERROR(LOOKUP(2,1/(E236:R236&lt;&gt;".."),E236:R236)/100,"")</f>
        <v/>
      </c>
      <c r="T236" t="str" cm="1">
        <f t="array" ref="T236">IFERROR(--LEFT(LOOKUP(2,1/(E236:R236&lt;&gt;".."),E$1:R$1),4),"")</f>
        <v/>
      </c>
    </row>
    <row r="237" spans="1:20" x14ac:dyDescent="0.35">
      <c r="A237" t="s">
        <v>514</v>
      </c>
      <c r="B237" s="1" t="s">
        <v>479</v>
      </c>
      <c r="C237" t="s">
        <v>88</v>
      </c>
      <c r="D237" s="1" t="s">
        <v>318</v>
      </c>
      <c r="E237" t="s">
        <v>356</v>
      </c>
      <c r="F237" t="s">
        <v>356</v>
      </c>
      <c r="G237" t="s">
        <v>356</v>
      </c>
      <c r="H237" t="s">
        <v>356</v>
      </c>
      <c r="I237" t="s">
        <v>356</v>
      </c>
      <c r="J237" t="s">
        <v>356</v>
      </c>
      <c r="K237" t="s">
        <v>356</v>
      </c>
      <c r="L237" t="s">
        <v>356</v>
      </c>
      <c r="M237" t="s">
        <v>356</v>
      </c>
      <c r="N237" t="s">
        <v>356</v>
      </c>
      <c r="O237" t="s">
        <v>356</v>
      </c>
      <c r="P237" t="s">
        <v>356</v>
      </c>
      <c r="Q237" t="s">
        <v>356</v>
      </c>
      <c r="R237" t="s">
        <v>356</v>
      </c>
      <c r="S237" t="str" cm="1">
        <f t="array" ref="S237">IFERROR(LOOKUP(2,1/(E237:R237&lt;&gt;".."),E237:R237)/100,"")</f>
        <v/>
      </c>
      <c r="T237" t="str" cm="1">
        <f t="array" ref="T237">IFERROR(--LEFT(LOOKUP(2,1/(E237:R237&lt;&gt;".."),E$1:R$1),4),"")</f>
        <v/>
      </c>
    </row>
    <row r="238" spans="1:20" x14ac:dyDescent="0.35">
      <c r="A238" t="s">
        <v>63</v>
      </c>
      <c r="B238" s="1" t="s">
        <v>174</v>
      </c>
      <c r="C238" t="s">
        <v>88</v>
      </c>
      <c r="D238" s="1" t="s">
        <v>318</v>
      </c>
      <c r="E238" t="s">
        <v>356</v>
      </c>
      <c r="F238" t="s">
        <v>356</v>
      </c>
      <c r="G238" t="s">
        <v>356</v>
      </c>
      <c r="H238" t="s">
        <v>356</v>
      </c>
      <c r="I238" t="s">
        <v>356</v>
      </c>
      <c r="J238" t="s">
        <v>356</v>
      </c>
      <c r="K238" t="s">
        <v>356</v>
      </c>
      <c r="L238" t="s">
        <v>356</v>
      </c>
      <c r="M238" t="s">
        <v>356</v>
      </c>
      <c r="N238" t="s">
        <v>356</v>
      </c>
      <c r="O238" t="s">
        <v>356</v>
      </c>
      <c r="P238" t="s">
        <v>356</v>
      </c>
      <c r="Q238" t="s">
        <v>356</v>
      </c>
      <c r="R238" t="s">
        <v>356</v>
      </c>
      <c r="S238" t="str" cm="1">
        <f t="array" ref="S238">IFERROR(LOOKUP(2,1/(E238:R238&lt;&gt;".."),E238:R238)/100,"")</f>
        <v/>
      </c>
      <c r="T238" t="str" cm="1">
        <f t="array" ref="T238">IFERROR(--LEFT(LOOKUP(2,1/(E238:R238&lt;&gt;".."),E$1:R$1),4),"")</f>
        <v/>
      </c>
    </row>
    <row r="239" spans="1:20" x14ac:dyDescent="0.35">
      <c r="A239" t="s">
        <v>110</v>
      </c>
      <c r="B239" s="1" t="s">
        <v>108</v>
      </c>
      <c r="C239" t="s">
        <v>88</v>
      </c>
      <c r="D239" s="1" t="s">
        <v>318</v>
      </c>
      <c r="E239">
        <v>16.020630000000001</v>
      </c>
      <c r="F239" t="s">
        <v>356</v>
      </c>
      <c r="G239" t="s">
        <v>356</v>
      </c>
      <c r="H239">
        <v>28.624980000000001</v>
      </c>
      <c r="I239" t="s">
        <v>356</v>
      </c>
      <c r="J239" t="s">
        <v>356</v>
      </c>
      <c r="K239" t="s">
        <v>356</v>
      </c>
      <c r="L239" t="s">
        <v>356</v>
      </c>
      <c r="M239" t="s">
        <v>356</v>
      </c>
      <c r="N239" t="s">
        <v>356</v>
      </c>
      <c r="O239" t="s">
        <v>356</v>
      </c>
      <c r="P239" t="s">
        <v>356</v>
      </c>
      <c r="Q239" t="s">
        <v>356</v>
      </c>
      <c r="R239" t="s">
        <v>356</v>
      </c>
      <c r="S239" cm="1">
        <f t="array" ref="S239">IFERROR(LOOKUP(2,1/(E239:R239&lt;&gt;".."),E239:R239)/100,"")</f>
        <v>0.2862498</v>
      </c>
      <c r="T239" cm="1">
        <f t="array" ref="T239">IFERROR(--LEFT(LOOKUP(2,1/(E239:R239&lt;&gt;".."),E$1:R$1),4),"")</f>
        <v>2015</v>
      </c>
    </row>
    <row r="240" spans="1:20" x14ac:dyDescent="0.35">
      <c r="A240" t="s">
        <v>437</v>
      </c>
      <c r="B240" s="1" t="s">
        <v>381</v>
      </c>
      <c r="C240" t="s">
        <v>88</v>
      </c>
      <c r="D240" s="1" t="s">
        <v>318</v>
      </c>
      <c r="E240" t="s">
        <v>356</v>
      </c>
      <c r="F240" t="s">
        <v>356</v>
      </c>
      <c r="G240" t="s">
        <v>356</v>
      </c>
      <c r="H240" t="s">
        <v>356</v>
      </c>
      <c r="I240" t="s">
        <v>356</v>
      </c>
      <c r="J240" t="s">
        <v>356</v>
      </c>
      <c r="K240" t="s">
        <v>356</v>
      </c>
      <c r="L240" t="s">
        <v>356</v>
      </c>
      <c r="M240" t="s">
        <v>356</v>
      </c>
      <c r="N240" t="s">
        <v>356</v>
      </c>
      <c r="O240" t="s">
        <v>356</v>
      </c>
      <c r="P240" t="s">
        <v>356</v>
      </c>
      <c r="Q240" t="s">
        <v>356</v>
      </c>
      <c r="R240" t="s">
        <v>356</v>
      </c>
      <c r="S240" t="str" cm="1">
        <f t="array" ref="S240">IFERROR(LOOKUP(2,1/(E240:R240&lt;&gt;".."),E240:R240)/100,"")</f>
        <v/>
      </c>
      <c r="T240" t="str" cm="1">
        <f t="array" ref="T240">IFERROR(--LEFT(LOOKUP(2,1/(E240:R240&lt;&gt;".."),E$1:R$1),4),"")</f>
        <v/>
      </c>
    </row>
    <row r="241" spans="1:20" x14ac:dyDescent="0.35">
      <c r="A241" t="s">
        <v>475</v>
      </c>
      <c r="B241" s="1" t="s">
        <v>404</v>
      </c>
      <c r="C241" t="s">
        <v>88</v>
      </c>
      <c r="D241" s="1" t="s">
        <v>318</v>
      </c>
      <c r="E241">
        <v>27.332529999999998</v>
      </c>
      <c r="F241">
        <v>25.90476</v>
      </c>
      <c r="G241" t="s">
        <v>356</v>
      </c>
      <c r="H241">
        <v>25.99305</v>
      </c>
      <c r="I241">
        <v>26.590019999999999</v>
      </c>
      <c r="J241">
        <v>27.50337</v>
      </c>
      <c r="K241">
        <v>26.639199999999999</v>
      </c>
      <c r="L241" t="s">
        <v>356</v>
      </c>
      <c r="M241" t="s">
        <v>356</v>
      </c>
      <c r="N241" t="s">
        <v>356</v>
      </c>
      <c r="O241" t="s">
        <v>356</v>
      </c>
      <c r="P241" t="s">
        <v>356</v>
      </c>
      <c r="Q241" t="s">
        <v>356</v>
      </c>
      <c r="R241" t="s">
        <v>356</v>
      </c>
      <c r="S241" cm="1">
        <f t="array" ref="S241">IFERROR(LOOKUP(2,1/(E241:R241&lt;&gt;".."),E241:R241)/100,"")</f>
        <v>0.26639199999999996</v>
      </c>
      <c r="T241" cm="1">
        <f t="array" ref="T241">IFERROR(--LEFT(LOOKUP(2,1/(E241:R241&lt;&gt;".."),E$1:R$1),4),"")</f>
        <v>2018</v>
      </c>
    </row>
    <row r="242" spans="1:20" x14ac:dyDescent="0.35">
      <c r="A242" t="s">
        <v>71</v>
      </c>
      <c r="B242" s="1" t="s">
        <v>217</v>
      </c>
      <c r="C242" t="s">
        <v>88</v>
      </c>
      <c r="D242" s="1" t="s">
        <v>318</v>
      </c>
      <c r="E242" t="s">
        <v>356</v>
      </c>
      <c r="F242">
        <v>23.030439999999999</v>
      </c>
      <c r="G242">
        <v>23.255980000000001</v>
      </c>
      <c r="H242">
        <v>24.38325</v>
      </c>
      <c r="I242">
        <v>24.530460000000001</v>
      </c>
      <c r="J242">
        <v>24.8523</v>
      </c>
      <c r="K242">
        <v>25.21237</v>
      </c>
      <c r="L242" t="s">
        <v>356</v>
      </c>
      <c r="M242" t="s">
        <v>356</v>
      </c>
      <c r="N242" t="s">
        <v>356</v>
      </c>
      <c r="O242" t="s">
        <v>356</v>
      </c>
      <c r="P242" t="s">
        <v>356</v>
      </c>
      <c r="Q242" t="s">
        <v>356</v>
      </c>
      <c r="R242" t="s">
        <v>356</v>
      </c>
      <c r="S242" cm="1">
        <f t="array" ref="S242">IFERROR(LOOKUP(2,1/(E242:R242&lt;&gt;".."),E242:R242)/100,"")</f>
        <v>0.25212370000000001</v>
      </c>
      <c r="T242" cm="1">
        <f t="array" ref="T242">IFERROR(--LEFT(LOOKUP(2,1/(E242:R242&lt;&gt;".."),E$1:R$1),4),"")</f>
        <v>2018</v>
      </c>
    </row>
    <row r="243" spans="1:20" x14ac:dyDescent="0.35">
      <c r="A243" t="s">
        <v>218</v>
      </c>
      <c r="B243" s="1" t="s">
        <v>50</v>
      </c>
      <c r="C243" t="s">
        <v>88</v>
      </c>
      <c r="D243" s="1" t="s">
        <v>318</v>
      </c>
      <c r="E243" t="s">
        <v>356</v>
      </c>
      <c r="F243" t="s">
        <v>356</v>
      </c>
      <c r="G243" t="s">
        <v>356</v>
      </c>
      <c r="H243" t="s">
        <v>356</v>
      </c>
      <c r="I243">
        <v>22.963640000000002</v>
      </c>
      <c r="J243" t="s">
        <v>356</v>
      </c>
      <c r="K243" t="s">
        <v>356</v>
      </c>
      <c r="L243" t="s">
        <v>356</v>
      </c>
      <c r="M243" t="s">
        <v>356</v>
      </c>
      <c r="N243" t="s">
        <v>356</v>
      </c>
      <c r="O243" t="s">
        <v>356</v>
      </c>
      <c r="P243" t="s">
        <v>356</v>
      </c>
      <c r="Q243" t="s">
        <v>356</v>
      </c>
      <c r="R243" t="s">
        <v>356</v>
      </c>
      <c r="S243" cm="1">
        <f t="array" ref="S243">IFERROR(LOOKUP(2,1/(E243:R243&lt;&gt;".."),E243:R243)/100,"")</f>
        <v>0.22963640000000002</v>
      </c>
      <c r="T243" cm="1">
        <f t="array" ref="T243">IFERROR(--LEFT(LOOKUP(2,1/(E243:R243&lt;&gt;".."),E$1:R$1),4),"")</f>
        <v>2016</v>
      </c>
    </row>
    <row r="244" spans="1:20" x14ac:dyDescent="0.35">
      <c r="A244" t="s">
        <v>167</v>
      </c>
      <c r="B244" s="1" t="s">
        <v>206</v>
      </c>
      <c r="C244" t="s">
        <v>88</v>
      </c>
      <c r="D244" s="1" t="s">
        <v>318</v>
      </c>
      <c r="E244" t="s">
        <v>356</v>
      </c>
      <c r="F244" t="s">
        <v>356</v>
      </c>
      <c r="G244" t="s">
        <v>356</v>
      </c>
      <c r="H244" t="s">
        <v>356</v>
      </c>
      <c r="I244">
        <v>21.45016</v>
      </c>
      <c r="J244">
        <v>22.036069999999999</v>
      </c>
      <c r="K244" t="s">
        <v>356</v>
      </c>
      <c r="L244" t="s">
        <v>356</v>
      </c>
      <c r="M244" t="s">
        <v>356</v>
      </c>
      <c r="N244" t="s">
        <v>356</v>
      </c>
      <c r="O244" t="s">
        <v>356</v>
      </c>
      <c r="P244" t="s">
        <v>356</v>
      </c>
      <c r="Q244" t="s">
        <v>356</v>
      </c>
      <c r="R244" t="s">
        <v>356</v>
      </c>
      <c r="S244" cm="1">
        <f t="array" ref="S244">IFERROR(LOOKUP(2,1/(E244:R244&lt;&gt;".."),E244:R244)/100,"")</f>
        <v>0.22036069999999999</v>
      </c>
      <c r="T244" cm="1">
        <f t="array" ref="T244">IFERROR(--LEFT(LOOKUP(2,1/(E244:R244&lt;&gt;".."),E$1:R$1),4),"")</f>
        <v>2017</v>
      </c>
    </row>
    <row r="245" spans="1:20" x14ac:dyDescent="0.35">
      <c r="A245" t="s">
        <v>195</v>
      </c>
      <c r="B245" s="1" t="s">
        <v>497</v>
      </c>
      <c r="C245" t="s">
        <v>88</v>
      </c>
      <c r="D245" s="1" t="s">
        <v>318</v>
      </c>
      <c r="E245" t="s">
        <v>356</v>
      </c>
      <c r="F245" t="s">
        <v>356</v>
      </c>
      <c r="G245" t="s">
        <v>356</v>
      </c>
      <c r="H245" t="s">
        <v>356</v>
      </c>
      <c r="I245" t="s">
        <v>356</v>
      </c>
      <c r="J245" t="s">
        <v>356</v>
      </c>
      <c r="K245" t="s">
        <v>356</v>
      </c>
      <c r="L245">
        <v>9.5023700000000009</v>
      </c>
      <c r="M245" t="s">
        <v>356</v>
      </c>
      <c r="N245" t="s">
        <v>356</v>
      </c>
      <c r="O245" t="s">
        <v>356</v>
      </c>
      <c r="P245" t="s">
        <v>356</v>
      </c>
      <c r="Q245" t="s">
        <v>356</v>
      </c>
      <c r="R245" t="s">
        <v>356</v>
      </c>
      <c r="S245" cm="1">
        <f t="array" ref="S245">IFERROR(LOOKUP(2,1/(E245:R245&lt;&gt;".."),E245:R245)/100,"")</f>
        <v>9.5023700000000003E-2</v>
      </c>
      <c r="T245" cm="1">
        <f t="array" ref="T245">IFERROR(--LEFT(LOOKUP(2,1/(E245:R245&lt;&gt;".."),E$1:R$1),4),"")</f>
        <v>2019</v>
      </c>
    </row>
    <row r="246" spans="1:20" x14ac:dyDescent="0.35">
      <c r="A246" t="s">
        <v>569</v>
      </c>
      <c r="B246" s="1" t="s">
        <v>363</v>
      </c>
      <c r="C246" t="s">
        <v>88</v>
      </c>
      <c r="D246" s="1" t="s">
        <v>318</v>
      </c>
      <c r="E246" t="s">
        <v>356</v>
      </c>
      <c r="F246" t="s">
        <v>356</v>
      </c>
      <c r="G246" t="s">
        <v>356</v>
      </c>
      <c r="H246">
        <v>26.769729999999999</v>
      </c>
      <c r="I246">
        <v>27.85502</v>
      </c>
      <c r="J246" t="s">
        <v>356</v>
      </c>
      <c r="K246" t="s">
        <v>356</v>
      </c>
      <c r="L246" t="s">
        <v>356</v>
      </c>
      <c r="M246" t="s">
        <v>356</v>
      </c>
      <c r="N246" t="s">
        <v>356</v>
      </c>
      <c r="O246" t="s">
        <v>356</v>
      </c>
      <c r="P246" t="s">
        <v>356</v>
      </c>
      <c r="Q246" t="s">
        <v>356</v>
      </c>
      <c r="R246" t="s">
        <v>356</v>
      </c>
      <c r="S246" cm="1">
        <f t="array" ref="S246">IFERROR(LOOKUP(2,1/(E246:R246&lt;&gt;".."),E246:R246)/100,"")</f>
        <v>0.27855019999999997</v>
      </c>
      <c r="T246" cm="1">
        <f t="array" ref="T246">IFERROR(--LEFT(LOOKUP(2,1/(E246:R246&lt;&gt;".."),E$1:R$1),4),"")</f>
        <v>2016</v>
      </c>
    </row>
    <row r="247" spans="1:20" x14ac:dyDescent="0.35">
      <c r="A247" t="s">
        <v>34</v>
      </c>
      <c r="B247" s="1" t="s">
        <v>364</v>
      </c>
      <c r="C247" t="s">
        <v>88</v>
      </c>
      <c r="D247" s="1" t="s">
        <v>318</v>
      </c>
      <c r="E247" t="s">
        <v>356</v>
      </c>
      <c r="F247" t="s">
        <v>356</v>
      </c>
      <c r="G247" t="s">
        <v>356</v>
      </c>
      <c r="H247" t="s">
        <v>356</v>
      </c>
      <c r="I247" t="s">
        <v>356</v>
      </c>
      <c r="J247" t="s">
        <v>356</v>
      </c>
      <c r="K247" t="s">
        <v>356</v>
      </c>
      <c r="L247" t="s">
        <v>356</v>
      </c>
      <c r="M247" t="s">
        <v>356</v>
      </c>
      <c r="N247" t="s">
        <v>356</v>
      </c>
      <c r="O247" t="s">
        <v>356</v>
      </c>
      <c r="P247" t="s">
        <v>356</v>
      </c>
      <c r="Q247" t="s">
        <v>356</v>
      </c>
      <c r="R247" t="s">
        <v>356</v>
      </c>
      <c r="S247" t="str" cm="1">
        <f t="array" ref="S247">IFERROR(LOOKUP(2,1/(E247:R247&lt;&gt;".."),E247:R247)/100,"")</f>
        <v/>
      </c>
      <c r="T247" t="str" cm="1">
        <f t="array" ref="T247">IFERROR(--LEFT(LOOKUP(2,1/(E247:R247&lt;&gt;".."),E$1:R$1),4),"")</f>
        <v/>
      </c>
    </row>
    <row r="248" spans="1:20" x14ac:dyDescent="0.35">
      <c r="A248" t="s">
        <v>143</v>
      </c>
      <c r="B248" s="1" t="s">
        <v>312</v>
      </c>
      <c r="C248" t="s">
        <v>88</v>
      </c>
      <c r="D248" s="1" t="s">
        <v>318</v>
      </c>
      <c r="E248" t="s">
        <v>356</v>
      </c>
      <c r="F248" t="s">
        <v>356</v>
      </c>
      <c r="G248" t="s">
        <v>356</v>
      </c>
      <c r="H248" t="s">
        <v>356</v>
      </c>
      <c r="I248" t="s">
        <v>356</v>
      </c>
      <c r="J248" t="s">
        <v>356</v>
      </c>
      <c r="K248" t="s">
        <v>356</v>
      </c>
      <c r="L248" t="s">
        <v>356</v>
      </c>
      <c r="M248" t="s">
        <v>356</v>
      </c>
      <c r="N248" t="s">
        <v>356</v>
      </c>
      <c r="O248" t="s">
        <v>356</v>
      </c>
      <c r="P248" t="s">
        <v>356</v>
      </c>
      <c r="Q248" t="s">
        <v>356</v>
      </c>
      <c r="R248" t="s">
        <v>356</v>
      </c>
      <c r="S248" t="str" cm="1">
        <f t="array" ref="S248">IFERROR(LOOKUP(2,1/(E248:R248&lt;&gt;".."),E248:R248)/100,"")</f>
        <v/>
      </c>
      <c r="T248" t="str" cm="1">
        <f t="array" ref="T248">IFERROR(--LEFT(LOOKUP(2,1/(E248:R248&lt;&gt;".."),E$1:R$1),4),"")</f>
        <v/>
      </c>
    </row>
    <row r="249" spans="1:20" x14ac:dyDescent="0.35">
      <c r="A249" t="s">
        <v>170</v>
      </c>
      <c r="B249" s="1" t="s">
        <v>188</v>
      </c>
      <c r="C249" t="s">
        <v>88</v>
      </c>
      <c r="D249" s="1" t="s">
        <v>318</v>
      </c>
      <c r="E249" t="s">
        <v>356</v>
      </c>
      <c r="F249" t="s">
        <v>356</v>
      </c>
      <c r="G249" t="s">
        <v>356</v>
      </c>
      <c r="H249" t="s">
        <v>356</v>
      </c>
      <c r="I249" t="s">
        <v>356</v>
      </c>
      <c r="J249" t="s">
        <v>356</v>
      </c>
      <c r="K249" t="s">
        <v>356</v>
      </c>
      <c r="L249" t="s">
        <v>356</v>
      </c>
      <c r="M249" t="s">
        <v>356</v>
      </c>
      <c r="N249" t="s">
        <v>356</v>
      </c>
      <c r="O249" t="s">
        <v>356</v>
      </c>
      <c r="P249" t="s">
        <v>356</v>
      </c>
      <c r="Q249" t="s">
        <v>356</v>
      </c>
      <c r="R249" t="s">
        <v>356</v>
      </c>
      <c r="S249" t="str" cm="1">
        <f t="array" ref="S249">IFERROR(LOOKUP(2,1/(E249:R249&lt;&gt;".."),E249:R249)/100,"")</f>
        <v/>
      </c>
      <c r="T249" t="str" cm="1">
        <f t="array" ref="T249">IFERROR(--LEFT(LOOKUP(2,1/(E249:R249&lt;&gt;".."),E$1:R$1),4),"")</f>
        <v/>
      </c>
    </row>
    <row r="250" spans="1:20" x14ac:dyDescent="0.35">
      <c r="A250" t="s">
        <v>489</v>
      </c>
      <c r="B250" s="1" t="s">
        <v>405</v>
      </c>
      <c r="C250" t="s">
        <v>88</v>
      </c>
      <c r="D250" s="1" t="s">
        <v>318</v>
      </c>
      <c r="E250" t="s">
        <v>356</v>
      </c>
      <c r="F250" t="s">
        <v>356</v>
      </c>
      <c r="G250" t="s">
        <v>356</v>
      </c>
      <c r="H250" t="s">
        <v>356</v>
      </c>
      <c r="I250" t="s">
        <v>356</v>
      </c>
      <c r="J250" t="s">
        <v>356</v>
      </c>
      <c r="K250" t="s">
        <v>356</v>
      </c>
      <c r="L250" t="s">
        <v>356</v>
      </c>
      <c r="M250" t="s">
        <v>356</v>
      </c>
      <c r="N250" t="s">
        <v>356</v>
      </c>
      <c r="O250" t="s">
        <v>356</v>
      </c>
      <c r="P250" t="s">
        <v>356</v>
      </c>
      <c r="Q250" t="s">
        <v>356</v>
      </c>
      <c r="R250" t="s">
        <v>356</v>
      </c>
      <c r="S250" t="str" cm="1">
        <f t="array" ref="S250">IFERROR(LOOKUP(2,1/(E250:R250&lt;&gt;".."),E250:R250)/100,"")</f>
        <v/>
      </c>
      <c r="T250" t="str" cm="1">
        <f t="array" ref="T250">IFERROR(--LEFT(LOOKUP(2,1/(E250:R250&lt;&gt;".."),E$1:R$1),4),"")</f>
        <v/>
      </c>
    </row>
    <row r="251" spans="1:20" x14ac:dyDescent="0.35">
      <c r="A251" t="s">
        <v>510</v>
      </c>
      <c r="B251" s="1" t="s">
        <v>60</v>
      </c>
      <c r="C251" t="s">
        <v>88</v>
      </c>
      <c r="D251" s="1" t="s">
        <v>318</v>
      </c>
      <c r="E251" t="s">
        <v>356</v>
      </c>
      <c r="F251" t="s">
        <v>356</v>
      </c>
      <c r="G251" t="s">
        <v>356</v>
      </c>
      <c r="H251" t="s">
        <v>356</v>
      </c>
      <c r="I251" t="s">
        <v>356</v>
      </c>
      <c r="J251" t="s">
        <v>356</v>
      </c>
      <c r="K251" t="s">
        <v>356</v>
      </c>
      <c r="L251" t="s">
        <v>356</v>
      </c>
      <c r="M251" t="s">
        <v>356</v>
      </c>
      <c r="N251" t="s">
        <v>356</v>
      </c>
      <c r="O251" t="s">
        <v>356</v>
      </c>
      <c r="P251" t="s">
        <v>356</v>
      </c>
      <c r="Q251" t="s">
        <v>356</v>
      </c>
      <c r="R251" t="s">
        <v>356</v>
      </c>
      <c r="S251" t="str" cm="1">
        <f t="array" ref="S251">IFERROR(LOOKUP(2,1/(E251:R251&lt;&gt;".."),E251:R251)/100,"")</f>
        <v/>
      </c>
      <c r="T251" t="str" cm="1">
        <f t="array" ref="T251">IFERROR(--LEFT(LOOKUP(2,1/(E251:R251&lt;&gt;".."),E$1:R$1),4),"")</f>
        <v/>
      </c>
    </row>
    <row r="252" spans="1:20" x14ac:dyDescent="0.35">
      <c r="A252" t="s">
        <v>575</v>
      </c>
      <c r="B252" s="1" t="s">
        <v>103</v>
      </c>
      <c r="C252" t="s">
        <v>88</v>
      </c>
      <c r="D252" s="1" t="s">
        <v>318</v>
      </c>
      <c r="E252">
        <v>43.083770000000001</v>
      </c>
      <c r="F252" t="s">
        <v>356</v>
      </c>
      <c r="G252" t="s">
        <v>356</v>
      </c>
      <c r="H252">
        <v>44.366370000000003</v>
      </c>
      <c r="I252">
        <v>44.44444</v>
      </c>
      <c r="J252" t="s">
        <v>356</v>
      </c>
      <c r="K252">
        <v>43.254710000000003</v>
      </c>
      <c r="L252" t="s">
        <v>356</v>
      </c>
      <c r="M252" t="s">
        <v>356</v>
      </c>
      <c r="N252" t="s">
        <v>356</v>
      </c>
      <c r="O252" t="s">
        <v>356</v>
      </c>
      <c r="P252" t="s">
        <v>356</v>
      </c>
      <c r="Q252" t="s">
        <v>356</v>
      </c>
      <c r="R252" t="s">
        <v>356</v>
      </c>
      <c r="S252" cm="1">
        <f t="array" ref="S252">IFERROR(LOOKUP(2,1/(E252:R252&lt;&gt;".."),E252:R252)/100,"")</f>
        <v>0.43254710000000002</v>
      </c>
      <c r="T252" cm="1">
        <f t="array" ref="T252">IFERROR(--LEFT(LOOKUP(2,1/(E252:R252&lt;&gt;".."),E$1:R$1),4),"")</f>
        <v>2018</v>
      </c>
    </row>
    <row r="253" spans="1:20" x14ac:dyDescent="0.35">
      <c r="A253" t="s">
        <v>72</v>
      </c>
      <c r="B253" s="1" t="s">
        <v>352</v>
      </c>
      <c r="C253" t="s">
        <v>88</v>
      </c>
      <c r="D253" s="1" t="s">
        <v>318</v>
      </c>
      <c r="E253">
        <v>21.238489999999999</v>
      </c>
      <c r="F253" t="s">
        <v>356</v>
      </c>
      <c r="G253">
        <v>20.210650000000001</v>
      </c>
      <c r="H253" t="s">
        <v>356</v>
      </c>
      <c r="I253" t="s">
        <v>356</v>
      </c>
      <c r="J253" t="s">
        <v>356</v>
      </c>
      <c r="K253">
        <v>19.441890000000001</v>
      </c>
      <c r="L253" t="s">
        <v>356</v>
      </c>
      <c r="M253" t="s">
        <v>356</v>
      </c>
      <c r="N253" t="s">
        <v>356</v>
      </c>
      <c r="O253" t="s">
        <v>356</v>
      </c>
      <c r="P253" t="s">
        <v>356</v>
      </c>
      <c r="Q253" t="s">
        <v>356</v>
      </c>
      <c r="R253" t="s">
        <v>356</v>
      </c>
      <c r="S253" cm="1">
        <f t="array" ref="S253">IFERROR(LOOKUP(2,1/(E253:R253&lt;&gt;".."),E253:R253)/100,"")</f>
        <v>0.19441890000000001</v>
      </c>
      <c r="T253" cm="1">
        <f t="array" ref="T253">IFERROR(--LEFT(LOOKUP(2,1/(E253:R253&lt;&gt;".."),E$1:R$1),4),"")</f>
        <v>2018</v>
      </c>
    </row>
    <row r="254" spans="1:20" x14ac:dyDescent="0.35">
      <c r="A254" t="s">
        <v>438</v>
      </c>
      <c r="B254" s="1" t="s">
        <v>45</v>
      </c>
      <c r="C254" t="s">
        <v>88</v>
      </c>
      <c r="D254" s="1" t="s">
        <v>318</v>
      </c>
      <c r="E254" t="s">
        <v>356</v>
      </c>
      <c r="F254" t="s">
        <v>356</v>
      </c>
      <c r="G254" t="s">
        <v>356</v>
      </c>
      <c r="H254" t="s">
        <v>356</v>
      </c>
      <c r="I254" t="s">
        <v>356</v>
      </c>
      <c r="J254" t="s">
        <v>356</v>
      </c>
      <c r="K254" t="s">
        <v>356</v>
      </c>
      <c r="L254" t="s">
        <v>356</v>
      </c>
      <c r="M254" t="s">
        <v>356</v>
      </c>
      <c r="N254" t="s">
        <v>356</v>
      </c>
      <c r="O254" t="s">
        <v>356</v>
      </c>
      <c r="P254" t="s">
        <v>356</v>
      </c>
      <c r="Q254" t="s">
        <v>356</v>
      </c>
      <c r="R254" t="s">
        <v>356</v>
      </c>
      <c r="S254" t="str" cm="1">
        <f t="array" ref="S254">IFERROR(LOOKUP(2,1/(E254:R254&lt;&gt;".."),E254:R254)/100,"")</f>
        <v/>
      </c>
      <c r="T254" t="str" cm="1">
        <f t="array" ref="T254">IFERROR(--LEFT(LOOKUP(2,1/(E254:R254&lt;&gt;".."),E$1:R$1),4),"")</f>
        <v/>
      </c>
    </row>
    <row r="255" spans="1:20" x14ac:dyDescent="0.35">
      <c r="A255" t="s">
        <v>554</v>
      </c>
      <c r="B255" s="1" t="s">
        <v>545</v>
      </c>
      <c r="C255" t="s">
        <v>88</v>
      </c>
      <c r="D255" s="1" t="s">
        <v>318</v>
      </c>
      <c r="E255" t="s">
        <v>356</v>
      </c>
      <c r="F255" t="s">
        <v>356</v>
      </c>
      <c r="G255" t="s">
        <v>356</v>
      </c>
      <c r="H255" t="s">
        <v>356</v>
      </c>
      <c r="I255" t="s">
        <v>356</v>
      </c>
      <c r="J255" t="s">
        <v>356</v>
      </c>
      <c r="K255" t="s">
        <v>356</v>
      </c>
      <c r="L255" t="s">
        <v>356</v>
      </c>
      <c r="M255" t="s">
        <v>356</v>
      </c>
      <c r="N255" t="s">
        <v>356</v>
      </c>
      <c r="O255" t="s">
        <v>356</v>
      </c>
      <c r="P255" t="s">
        <v>356</v>
      </c>
      <c r="Q255" t="s">
        <v>356</v>
      </c>
      <c r="R255" t="s">
        <v>356</v>
      </c>
      <c r="S255" t="str" cm="1">
        <f t="array" ref="S255">IFERROR(LOOKUP(2,1/(E255:R255&lt;&gt;".."),E255:R255)/100,"")</f>
        <v/>
      </c>
      <c r="T255" t="str" cm="1">
        <f t="array" ref="T255">IFERROR(--LEFT(LOOKUP(2,1/(E255:R255&lt;&gt;".."),E$1:R$1),4),"")</f>
        <v/>
      </c>
    </row>
    <row r="256" spans="1:20" x14ac:dyDescent="0.35">
      <c r="A256" t="s">
        <v>121</v>
      </c>
      <c r="B256" s="1" t="s">
        <v>573</v>
      </c>
      <c r="C256" t="s">
        <v>88</v>
      </c>
      <c r="D256" s="1" t="s">
        <v>318</v>
      </c>
      <c r="E256" t="s">
        <v>356</v>
      </c>
      <c r="F256" t="s">
        <v>356</v>
      </c>
      <c r="G256" t="s">
        <v>356</v>
      </c>
      <c r="H256" t="s">
        <v>356</v>
      </c>
      <c r="I256" t="s">
        <v>356</v>
      </c>
      <c r="J256" t="s">
        <v>356</v>
      </c>
      <c r="K256" t="s">
        <v>356</v>
      </c>
      <c r="L256" t="s">
        <v>356</v>
      </c>
      <c r="M256" t="s">
        <v>356</v>
      </c>
      <c r="N256" t="s">
        <v>356</v>
      </c>
      <c r="O256" t="s">
        <v>356</v>
      </c>
      <c r="P256" t="s">
        <v>356</v>
      </c>
      <c r="Q256" t="s">
        <v>356</v>
      </c>
      <c r="R256" t="s">
        <v>356</v>
      </c>
      <c r="S256" t="str" cm="1">
        <f t="array" ref="S256">IFERROR(LOOKUP(2,1/(E256:R256&lt;&gt;".."),E256:R256)/100,"")</f>
        <v/>
      </c>
      <c r="T256" t="str" cm="1">
        <f t="array" ref="T256">IFERROR(--LEFT(LOOKUP(2,1/(E256:R256&lt;&gt;".."),E$1:R$1),4),"")</f>
        <v/>
      </c>
    </row>
    <row r="257" spans="1:20" x14ac:dyDescent="0.35">
      <c r="A257" t="s">
        <v>263</v>
      </c>
      <c r="B257" s="1" t="s">
        <v>429</v>
      </c>
      <c r="C257" t="s">
        <v>88</v>
      </c>
      <c r="D257" s="1" t="s">
        <v>318</v>
      </c>
      <c r="E257" t="s">
        <v>356</v>
      </c>
      <c r="F257" t="s">
        <v>356</v>
      </c>
      <c r="G257" t="s">
        <v>356</v>
      </c>
      <c r="H257" t="s">
        <v>356</v>
      </c>
      <c r="I257" t="s">
        <v>356</v>
      </c>
      <c r="J257" t="s">
        <v>356</v>
      </c>
      <c r="K257" t="s">
        <v>356</v>
      </c>
      <c r="L257" t="s">
        <v>356</v>
      </c>
      <c r="M257" t="s">
        <v>356</v>
      </c>
      <c r="N257" t="s">
        <v>356</v>
      </c>
      <c r="O257" t="s">
        <v>356</v>
      </c>
      <c r="P257" t="s">
        <v>356</v>
      </c>
      <c r="Q257" t="s">
        <v>356</v>
      </c>
      <c r="R257" t="s">
        <v>356</v>
      </c>
      <c r="S257" t="str" cm="1">
        <f t="array" ref="S257">IFERROR(LOOKUP(2,1/(E257:R257&lt;&gt;".."),E257:R257)/100,"")</f>
        <v/>
      </c>
      <c r="T257" t="str" cm="1">
        <f t="array" ref="T257">IFERROR(--LEFT(LOOKUP(2,1/(E257:R257&lt;&gt;".."),E$1:R$1),4),"")</f>
        <v/>
      </c>
    </row>
    <row r="258" spans="1:20" x14ac:dyDescent="0.35">
      <c r="A258" t="s">
        <v>171</v>
      </c>
      <c r="B258" s="1" t="s">
        <v>353</v>
      </c>
      <c r="C258" t="s">
        <v>88</v>
      </c>
      <c r="D258" s="1" t="s">
        <v>318</v>
      </c>
      <c r="E258">
        <v>25.75535</v>
      </c>
      <c r="F258" t="s">
        <v>356</v>
      </c>
      <c r="G258" t="s">
        <v>356</v>
      </c>
      <c r="H258">
        <v>26.731369999999998</v>
      </c>
      <c r="I258">
        <v>26.653569999999998</v>
      </c>
      <c r="J258">
        <v>24.219280000000001</v>
      </c>
      <c r="K258">
        <v>25.284490000000002</v>
      </c>
      <c r="L258">
        <v>25.053270000000001</v>
      </c>
      <c r="M258" t="s">
        <v>356</v>
      </c>
      <c r="N258" t="s">
        <v>356</v>
      </c>
      <c r="O258" t="s">
        <v>356</v>
      </c>
      <c r="P258" t="s">
        <v>356</v>
      </c>
      <c r="Q258" t="s">
        <v>356</v>
      </c>
      <c r="R258" t="s">
        <v>356</v>
      </c>
      <c r="S258" cm="1">
        <f t="array" ref="S258">IFERROR(LOOKUP(2,1/(E258:R258&lt;&gt;".."),E258:R258)/100,"")</f>
        <v>0.2505327</v>
      </c>
      <c r="T258" cm="1">
        <f t="array" ref="T258">IFERROR(--LEFT(LOOKUP(2,1/(E258:R258&lt;&gt;".."),E$1:R$1),4),"")</f>
        <v>2019</v>
      </c>
    </row>
    <row r="259" spans="1:20" x14ac:dyDescent="0.35">
      <c r="A259" t="s">
        <v>51</v>
      </c>
      <c r="B259" s="1" t="s">
        <v>240</v>
      </c>
      <c r="C259" t="s">
        <v>88</v>
      </c>
      <c r="D259" s="1" t="s">
        <v>318</v>
      </c>
      <c r="E259">
        <v>26.210989999999999</v>
      </c>
      <c r="F259" t="s">
        <v>356</v>
      </c>
      <c r="G259" t="s">
        <v>356</v>
      </c>
      <c r="H259">
        <v>21.819089999999999</v>
      </c>
      <c r="I259">
        <v>21.994039999999998</v>
      </c>
      <c r="J259">
        <v>27.732700000000001</v>
      </c>
      <c r="K259" t="s">
        <v>356</v>
      </c>
      <c r="L259" t="s">
        <v>356</v>
      </c>
      <c r="M259" t="s">
        <v>356</v>
      </c>
      <c r="N259" t="s">
        <v>356</v>
      </c>
      <c r="O259" t="s">
        <v>356</v>
      </c>
      <c r="P259" t="s">
        <v>356</v>
      </c>
      <c r="Q259" t="s">
        <v>356</v>
      </c>
      <c r="R259" t="s">
        <v>356</v>
      </c>
      <c r="S259" cm="1">
        <f t="array" ref="S259">IFERROR(LOOKUP(2,1/(E259:R259&lt;&gt;".."),E259:R259)/100,"")</f>
        <v>0.27732699999999999</v>
      </c>
      <c r="T259" cm="1">
        <f t="array" ref="T259">IFERROR(--LEFT(LOOKUP(2,1/(E259:R259&lt;&gt;".."),E$1:R$1),4),"")</f>
        <v>2017</v>
      </c>
    </row>
    <row r="260" spans="1:20" x14ac:dyDescent="0.35">
      <c r="A260" t="s">
        <v>273</v>
      </c>
      <c r="B260" s="1" t="s">
        <v>255</v>
      </c>
      <c r="C260" t="s">
        <v>88</v>
      </c>
      <c r="D260" s="1" t="s">
        <v>318</v>
      </c>
      <c r="E260">
        <v>21.935269999999999</v>
      </c>
      <c r="F260">
        <v>25.18131</v>
      </c>
      <c r="G260">
        <v>25.59525</v>
      </c>
      <c r="H260">
        <v>26.146899999999999</v>
      </c>
      <c r="I260">
        <v>26.31962</v>
      </c>
      <c r="J260" t="s">
        <v>356</v>
      </c>
      <c r="K260" t="s">
        <v>356</v>
      </c>
      <c r="L260" t="s">
        <v>356</v>
      </c>
      <c r="M260" t="s">
        <v>356</v>
      </c>
      <c r="N260" t="s">
        <v>356</v>
      </c>
      <c r="O260" t="s">
        <v>356</v>
      </c>
      <c r="P260" t="s">
        <v>356</v>
      </c>
      <c r="Q260" t="s">
        <v>356</v>
      </c>
      <c r="R260" t="s">
        <v>356</v>
      </c>
      <c r="S260" cm="1">
        <f t="array" ref="S260">IFERROR(LOOKUP(2,1/(E260:R260&lt;&gt;".."),E260:R260)/100,"")</f>
        <v>0.26319619999999999</v>
      </c>
      <c r="T260" cm="1">
        <f t="array" ref="T260">IFERROR(--LEFT(LOOKUP(2,1/(E260:R260&lt;&gt;".."),E$1:R$1),4),"")</f>
        <v>2016</v>
      </c>
    </row>
    <row r="261" spans="1:20" x14ac:dyDescent="0.35">
      <c r="A261" t="s">
        <v>280</v>
      </c>
      <c r="B261" s="1" t="s">
        <v>56</v>
      </c>
      <c r="C261" t="s">
        <v>88</v>
      </c>
      <c r="D261" s="1" t="s">
        <v>318</v>
      </c>
      <c r="E261">
        <v>16.5562</v>
      </c>
      <c r="F261">
        <v>15.35388</v>
      </c>
      <c r="G261">
        <v>15.76347</v>
      </c>
      <c r="H261">
        <v>17.36795</v>
      </c>
      <c r="I261">
        <v>17.920210000000001</v>
      </c>
      <c r="J261" t="s">
        <v>356</v>
      </c>
      <c r="K261" t="s">
        <v>356</v>
      </c>
      <c r="L261" t="s">
        <v>356</v>
      </c>
      <c r="M261" t="s">
        <v>356</v>
      </c>
      <c r="N261" t="s">
        <v>356</v>
      </c>
      <c r="O261" t="s">
        <v>356</v>
      </c>
      <c r="P261" t="s">
        <v>356</v>
      </c>
      <c r="Q261" t="s">
        <v>356</v>
      </c>
      <c r="R261" t="s">
        <v>356</v>
      </c>
      <c r="S261" cm="1">
        <f t="array" ref="S261">IFERROR(LOOKUP(2,1/(E261:R261&lt;&gt;".."),E261:R261)/100,"")</f>
        <v>0.1792021</v>
      </c>
      <c r="T261" cm="1">
        <f t="array" ref="T261">IFERROR(--LEFT(LOOKUP(2,1/(E261:R261&lt;&gt;".."),E$1:R$1),4),"")</f>
        <v>2016</v>
      </c>
    </row>
    <row r="262" spans="1:20" x14ac:dyDescent="0.35">
      <c r="A262" t="s">
        <v>281</v>
      </c>
      <c r="B262" s="1" t="s">
        <v>67</v>
      </c>
      <c r="C262" t="s">
        <v>88</v>
      </c>
      <c r="D262" s="1" t="s">
        <v>318</v>
      </c>
      <c r="E262" t="s">
        <v>356</v>
      </c>
      <c r="F262" t="s">
        <v>356</v>
      </c>
      <c r="G262" t="s">
        <v>356</v>
      </c>
      <c r="H262" t="s">
        <v>356</v>
      </c>
      <c r="I262" t="s">
        <v>356</v>
      </c>
      <c r="J262" t="s">
        <v>356</v>
      </c>
      <c r="K262" t="s">
        <v>356</v>
      </c>
      <c r="L262" t="s">
        <v>356</v>
      </c>
      <c r="M262" t="s">
        <v>356</v>
      </c>
      <c r="N262" t="s">
        <v>356</v>
      </c>
      <c r="O262" t="s">
        <v>356</v>
      </c>
      <c r="P262" t="s">
        <v>356</v>
      </c>
      <c r="Q262" t="s">
        <v>356</v>
      </c>
      <c r="R262" t="s">
        <v>356</v>
      </c>
      <c r="S262" t="str" cm="1">
        <f t="array" ref="S262">IFERROR(LOOKUP(2,1/(E262:R262&lt;&gt;".."),E262:R262)/100,"")</f>
        <v/>
      </c>
      <c r="T262" t="str" cm="1">
        <f t="array" ref="T262">IFERROR(--LEFT(LOOKUP(2,1/(E262:R262&lt;&gt;".."),E$1:R$1),4),"")</f>
        <v/>
      </c>
    </row>
    <row r="263" spans="1:20" x14ac:dyDescent="0.35">
      <c r="A263" t="s">
        <v>177</v>
      </c>
      <c r="B263" s="1" t="s">
        <v>207</v>
      </c>
      <c r="C263" t="s">
        <v>88</v>
      </c>
      <c r="D263" s="1" t="s">
        <v>318</v>
      </c>
      <c r="E263" t="s">
        <v>356</v>
      </c>
      <c r="F263" t="s">
        <v>356</v>
      </c>
      <c r="G263" t="s">
        <v>356</v>
      </c>
      <c r="H263" t="s">
        <v>356</v>
      </c>
      <c r="I263" t="s">
        <v>356</v>
      </c>
      <c r="J263">
        <v>17.45411</v>
      </c>
      <c r="K263" t="s">
        <v>356</v>
      </c>
      <c r="L263" t="s">
        <v>356</v>
      </c>
      <c r="M263" t="s">
        <v>356</v>
      </c>
      <c r="N263" t="s">
        <v>356</v>
      </c>
      <c r="O263" t="s">
        <v>356</v>
      </c>
      <c r="P263" t="s">
        <v>356</v>
      </c>
      <c r="Q263" t="s">
        <v>356</v>
      </c>
      <c r="R263" t="s">
        <v>356</v>
      </c>
      <c r="S263" cm="1">
        <f t="array" ref="S263">IFERROR(LOOKUP(2,1/(E263:R263&lt;&gt;".."),E263:R263)/100,"")</f>
        <v>0.1745411</v>
      </c>
      <c r="T263" cm="1">
        <f t="array" ref="T263">IFERROR(--LEFT(LOOKUP(2,1/(E263:R263&lt;&gt;".."),E$1:R$1),4),"")</f>
        <v>2017</v>
      </c>
    </row>
    <row r="264" spans="1:20" x14ac:dyDescent="0.35">
      <c r="A264" t="s">
        <v>223</v>
      </c>
      <c r="B264" s="1" t="s">
        <v>334</v>
      </c>
      <c r="C264" t="s">
        <v>88</v>
      </c>
      <c r="D264" s="1" t="s">
        <v>318</v>
      </c>
      <c r="E264" t="s">
        <v>356</v>
      </c>
      <c r="F264" t="s">
        <v>356</v>
      </c>
      <c r="G264" t="s">
        <v>356</v>
      </c>
      <c r="H264" t="s">
        <v>356</v>
      </c>
      <c r="I264">
        <v>32.105330000000002</v>
      </c>
      <c r="J264">
        <v>31.510560000000002</v>
      </c>
      <c r="K264">
        <v>35.159140000000001</v>
      </c>
      <c r="L264">
        <v>34.476799999999997</v>
      </c>
      <c r="M264" t="s">
        <v>356</v>
      </c>
      <c r="N264" t="s">
        <v>356</v>
      </c>
      <c r="O264" t="s">
        <v>356</v>
      </c>
      <c r="P264" t="s">
        <v>356</v>
      </c>
      <c r="Q264" t="s">
        <v>356</v>
      </c>
      <c r="R264" t="s">
        <v>356</v>
      </c>
      <c r="S264" cm="1">
        <f t="array" ref="S264">IFERROR(LOOKUP(2,1/(E264:R264&lt;&gt;".."),E264:R264)/100,"")</f>
        <v>0.34476799999999996</v>
      </c>
      <c r="T264" cm="1">
        <f t="array" ref="T264">IFERROR(--LEFT(LOOKUP(2,1/(E264:R264&lt;&gt;".."),E$1:R$1),4),"")</f>
        <v>2019</v>
      </c>
    </row>
    <row r="265" spans="1:20" x14ac:dyDescent="0.35">
      <c r="A265" t="s">
        <v>500</v>
      </c>
      <c r="B265" s="1" t="s">
        <v>462</v>
      </c>
      <c r="C265" t="s">
        <v>88</v>
      </c>
      <c r="D265" s="1" t="s">
        <v>318</v>
      </c>
      <c r="E265" t="s">
        <v>356</v>
      </c>
      <c r="F265" t="s">
        <v>356</v>
      </c>
      <c r="G265" t="s">
        <v>356</v>
      </c>
      <c r="H265" t="s">
        <v>356</v>
      </c>
      <c r="I265" t="s">
        <v>356</v>
      </c>
      <c r="J265" t="s">
        <v>356</v>
      </c>
      <c r="K265" t="s">
        <v>356</v>
      </c>
      <c r="L265" t="s">
        <v>356</v>
      </c>
      <c r="M265" t="s">
        <v>356</v>
      </c>
      <c r="N265" t="s">
        <v>356</v>
      </c>
      <c r="O265" t="s">
        <v>356</v>
      </c>
      <c r="P265" t="s">
        <v>356</v>
      </c>
      <c r="Q265" t="s">
        <v>356</v>
      </c>
      <c r="R265" t="s">
        <v>356</v>
      </c>
      <c r="S265" t="str" cm="1">
        <f t="array" ref="S265">IFERROR(LOOKUP(2,1/(E265:R265&lt;&gt;".."),E265:R265)/100,"")</f>
        <v/>
      </c>
      <c r="T265" t="str" cm="1">
        <f t="array" ref="T265">IFERROR(--LEFT(LOOKUP(2,1/(E265:R265&lt;&gt;".."),E$1:R$1),4),"")</f>
        <v/>
      </c>
    </row>
    <row r="266" spans="1:20" x14ac:dyDescent="0.35">
      <c r="A266" t="s">
        <v>365</v>
      </c>
      <c r="B266" s="1" t="s">
        <v>382</v>
      </c>
      <c r="C266" t="s">
        <v>88</v>
      </c>
      <c r="D266" s="1" t="s">
        <v>318</v>
      </c>
      <c r="E266" t="s">
        <v>356</v>
      </c>
      <c r="F266" t="s">
        <v>356</v>
      </c>
      <c r="G266" t="s">
        <v>356</v>
      </c>
      <c r="H266" t="s">
        <v>356</v>
      </c>
      <c r="I266" t="s">
        <v>356</v>
      </c>
      <c r="J266" t="s">
        <v>356</v>
      </c>
      <c r="K266" t="s">
        <v>356</v>
      </c>
      <c r="L266" t="s">
        <v>356</v>
      </c>
      <c r="M266" t="s">
        <v>356</v>
      </c>
      <c r="N266" t="s">
        <v>356</v>
      </c>
      <c r="O266" t="s">
        <v>356</v>
      </c>
      <c r="P266" t="s">
        <v>356</v>
      </c>
      <c r="Q266" t="s">
        <v>356</v>
      </c>
      <c r="R266" t="s">
        <v>356</v>
      </c>
      <c r="S266" t="str" cm="1">
        <f t="array" ref="S266">IFERROR(LOOKUP(2,1/(E266:R266&lt;&gt;".."),E266:R266)/100,"")</f>
        <v/>
      </c>
      <c r="T266" t="str" cm="1">
        <f t="array" ref="T266">IFERROR(--LEFT(LOOKUP(2,1/(E266:R266&lt;&gt;".."),E$1:R$1),4),"")</f>
        <v/>
      </c>
    </row>
    <row r="267" spans="1:20" x14ac:dyDescent="0.35">
      <c r="A267" t="s">
        <v>439</v>
      </c>
      <c r="B267" s="1" t="s">
        <v>574</v>
      </c>
      <c r="C267" t="s">
        <v>88</v>
      </c>
      <c r="D267" s="1" t="s">
        <v>318</v>
      </c>
      <c r="E267">
        <v>24.049199999999999</v>
      </c>
      <c r="F267" t="s">
        <v>356</v>
      </c>
      <c r="G267" t="s">
        <v>356</v>
      </c>
      <c r="H267">
        <v>23.415430000000001</v>
      </c>
      <c r="I267">
        <v>22.67548</v>
      </c>
      <c r="J267" t="s">
        <v>356</v>
      </c>
      <c r="K267" t="s">
        <v>356</v>
      </c>
      <c r="L267" t="s">
        <v>356</v>
      </c>
      <c r="M267" t="s">
        <v>356</v>
      </c>
      <c r="N267" t="s">
        <v>356</v>
      </c>
      <c r="O267" t="s">
        <v>356</v>
      </c>
      <c r="P267" t="s">
        <v>356</v>
      </c>
      <c r="Q267" t="s">
        <v>356</v>
      </c>
      <c r="R267" t="s">
        <v>356</v>
      </c>
      <c r="S267" cm="1">
        <f t="array" ref="S267">IFERROR(LOOKUP(2,1/(E267:R267&lt;&gt;".."),E267:R267)/100,"")</f>
        <v>0.22675480000000001</v>
      </c>
      <c r="T267" cm="1">
        <f t="array" ref="T267">IFERROR(--LEFT(LOOKUP(2,1/(E267:R267&lt;&gt;".."),E$1:R$1),4),"")</f>
        <v>2016</v>
      </c>
    </row>
    <row r="268" spans="1:20" x14ac:dyDescent="0.35">
      <c r="A268" t="s">
        <v>70</v>
      </c>
      <c r="B268" s="1" t="s">
        <v>291</v>
      </c>
      <c r="C268" t="s">
        <v>88</v>
      </c>
      <c r="D268" s="1" t="s">
        <v>318</v>
      </c>
      <c r="E268" t="s">
        <v>356</v>
      </c>
      <c r="F268" t="s">
        <v>356</v>
      </c>
      <c r="G268" t="s">
        <v>356</v>
      </c>
      <c r="H268" t="s">
        <v>356</v>
      </c>
      <c r="I268" t="s">
        <v>356</v>
      </c>
      <c r="J268" t="s">
        <v>356</v>
      </c>
      <c r="K268" t="s">
        <v>356</v>
      </c>
      <c r="L268" t="s">
        <v>356</v>
      </c>
      <c r="M268" t="s">
        <v>356</v>
      </c>
      <c r="N268" t="s">
        <v>356</v>
      </c>
      <c r="O268" t="s">
        <v>356</v>
      </c>
      <c r="P268" t="s">
        <v>356</v>
      </c>
      <c r="Q268" t="s">
        <v>356</v>
      </c>
      <c r="R268" t="s">
        <v>356</v>
      </c>
      <c r="S268" t="str" cm="1">
        <f t="array" ref="S268">IFERROR(LOOKUP(2,1/(E268:R268&lt;&gt;".."),E268:R268)/100,"")</f>
        <v/>
      </c>
      <c r="T268" t="str" cm="1">
        <f t="array" ref="T268">IFERROR(--LEFT(LOOKUP(2,1/(E268:R268&lt;&gt;".."),E$1:R$1),4),"")</f>
        <v/>
      </c>
    </row>
    <row r="269" spans="1:20" x14ac:dyDescent="0.35">
      <c r="A269" t="s">
        <v>101</v>
      </c>
      <c r="B269" s="1" t="s">
        <v>362</v>
      </c>
      <c r="C269" t="s">
        <v>88</v>
      </c>
      <c r="D269" s="1" t="s">
        <v>318</v>
      </c>
      <c r="E269">
        <v>15.91705</v>
      </c>
      <c r="F269" t="s">
        <v>356</v>
      </c>
      <c r="G269" t="s">
        <v>356</v>
      </c>
      <c r="H269">
        <v>16.676739999999999</v>
      </c>
      <c r="I269">
        <v>16.550260000000002</v>
      </c>
      <c r="J269">
        <v>15.82976</v>
      </c>
      <c r="K269">
        <v>15.42122</v>
      </c>
      <c r="L269">
        <v>14.673920000000001</v>
      </c>
      <c r="M269" t="s">
        <v>356</v>
      </c>
      <c r="N269" t="s">
        <v>356</v>
      </c>
      <c r="O269" t="s">
        <v>356</v>
      </c>
      <c r="P269" t="s">
        <v>356</v>
      </c>
      <c r="Q269" t="s">
        <v>356</v>
      </c>
      <c r="R269" t="s">
        <v>356</v>
      </c>
      <c r="S269" cm="1">
        <f t="array" ref="S269">IFERROR(LOOKUP(2,1/(E269:R269&lt;&gt;".."),E269:R269)/100,"")</f>
        <v>0.14673920000000001</v>
      </c>
      <c r="T269" cm="1">
        <f t="array" ref="T269">IFERROR(--LEFT(LOOKUP(2,1/(E269:R269&lt;&gt;".."),E$1:R$1),4),"")</f>
        <v>2019</v>
      </c>
    </row>
    <row r="270" spans="1:20" x14ac:dyDescent="0.35">
      <c r="A270" t="s">
        <v>156</v>
      </c>
      <c r="B270" s="1" t="s">
        <v>553</v>
      </c>
      <c r="C270" t="s">
        <v>88</v>
      </c>
      <c r="D270" s="1" t="s">
        <v>318</v>
      </c>
      <c r="E270" t="s">
        <v>356</v>
      </c>
      <c r="F270" t="s">
        <v>356</v>
      </c>
      <c r="G270" t="s">
        <v>356</v>
      </c>
      <c r="H270" t="s">
        <v>356</v>
      </c>
      <c r="I270" t="s">
        <v>356</v>
      </c>
      <c r="J270" t="s">
        <v>356</v>
      </c>
      <c r="K270" t="s">
        <v>356</v>
      </c>
      <c r="L270" t="s">
        <v>356</v>
      </c>
      <c r="M270" t="s">
        <v>356</v>
      </c>
      <c r="N270" t="s">
        <v>356</v>
      </c>
      <c r="O270" t="s">
        <v>356</v>
      </c>
      <c r="P270" t="s">
        <v>356</v>
      </c>
      <c r="Q270" t="s">
        <v>356</v>
      </c>
      <c r="R270" t="s">
        <v>356</v>
      </c>
      <c r="S270" t="str" cm="1">
        <f t="array" ref="S270">IFERROR(LOOKUP(2,1/(E270:R270&lt;&gt;".."),E270:R270)/100,"")</f>
        <v/>
      </c>
      <c r="T270" t="str" cm="1">
        <f t="array" ref="T270">IFERROR(--LEFT(LOOKUP(2,1/(E270:R270&lt;&gt;".."),E$1:R$1),4),"")</f>
        <v/>
      </c>
    </row>
    <row r="271" spans="1:20" x14ac:dyDescent="0.35">
      <c r="A271" t="s">
        <v>99</v>
      </c>
      <c r="B271" s="1" t="s">
        <v>68</v>
      </c>
      <c r="C271" t="s">
        <v>88</v>
      </c>
      <c r="D271" s="1" t="s">
        <v>318</v>
      </c>
      <c r="E271" t="s">
        <v>356</v>
      </c>
      <c r="F271" t="s">
        <v>356</v>
      </c>
      <c r="G271" t="s">
        <v>356</v>
      </c>
      <c r="H271" t="s">
        <v>356</v>
      </c>
      <c r="I271" t="s">
        <v>356</v>
      </c>
      <c r="J271" t="s">
        <v>356</v>
      </c>
      <c r="K271" t="s">
        <v>356</v>
      </c>
      <c r="L271" t="s">
        <v>356</v>
      </c>
      <c r="M271" t="s">
        <v>356</v>
      </c>
      <c r="N271" t="s">
        <v>356</v>
      </c>
      <c r="O271" t="s">
        <v>356</v>
      </c>
      <c r="P271" t="s">
        <v>356</v>
      </c>
      <c r="Q271" t="s">
        <v>356</v>
      </c>
      <c r="R271" t="s">
        <v>356</v>
      </c>
      <c r="S271" t="str" cm="1">
        <f t="array" ref="S271">IFERROR(LOOKUP(2,1/(E271:R271&lt;&gt;".."),E271:R271)/100,"")</f>
        <v/>
      </c>
      <c r="T271" t="str" cm="1">
        <f t="array" ref="T271">IFERROR(--LEFT(LOOKUP(2,1/(E271:R271&lt;&gt;".."),E$1:R$1),4),"")</f>
        <v/>
      </c>
    </row>
    <row r="272" spans="1:20" x14ac:dyDescent="0.35">
      <c r="A272" t="s">
        <v>371</v>
      </c>
      <c r="B272" s="1" t="s">
        <v>525</v>
      </c>
      <c r="C272" t="s">
        <v>88</v>
      </c>
      <c r="D272" s="1" t="s">
        <v>318</v>
      </c>
      <c r="E272" t="s">
        <v>356</v>
      </c>
      <c r="F272" t="s">
        <v>356</v>
      </c>
      <c r="G272" t="s">
        <v>356</v>
      </c>
      <c r="H272" t="s">
        <v>356</v>
      </c>
      <c r="I272" t="s">
        <v>356</v>
      </c>
      <c r="J272" t="s">
        <v>356</v>
      </c>
      <c r="K272" t="s">
        <v>356</v>
      </c>
      <c r="L272" t="s">
        <v>356</v>
      </c>
      <c r="M272" t="s">
        <v>356</v>
      </c>
      <c r="N272" t="s">
        <v>356</v>
      </c>
      <c r="O272" t="s">
        <v>356</v>
      </c>
      <c r="P272" t="s">
        <v>356</v>
      </c>
      <c r="Q272" t="s">
        <v>356</v>
      </c>
      <c r="R272" t="s">
        <v>356</v>
      </c>
      <c r="S272" t="str" cm="1">
        <f t="array" ref="S272">IFERROR(LOOKUP(2,1/(E272:R272&lt;&gt;".."),E272:R272)/100,"")</f>
        <v/>
      </c>
      <c r="T272" t="str" cm="1">
        <f t="array" ref="T272">IFERROR(--LEFT(LOOKUP(2,1/(E272:R272&lt;&gt;".."),E$1:R$1),4),"")</f>
        <v/>
      </c>
    </row>
    <row r="273" spans="1:20" x14ac:dyDescent="0.35">
      <c r="A273" t="s">
        <v>47</v>
      </c>
      <c r="B273" s="1" t="s">
        <v>288</v>
      </c>
      <c r="C273" t="s">
        <v>88</v>
      </c>
      <c r="D273" s="1" t="s">
        <v>318</v>
      </c>
      <c r="E273">
        <v>24.329080000000001</v>
      </c>
      <c r="F273" t="s">
        <v>356</v>
      </c>
      <c r="G273" t="s">
        <v>356</v>
      </c>
      <c r="H273">
        <v>30.224029999999999</v>
      </c>
      <c r="I273" t="s">
        <v>356</v>
      </c>
      <c r="J273" t="s">
        <v>356</v>
      </c>
      <c r="K273" t="s">
        <v>356</v>
      </c>
      <c r="L273" t="s">
        <v>356</v>
      </c>
      <c r="M273" t="s">
        <v>356</v>
      </c>
      <c r="N273" t="s">
        <v>356</v>
      </c>
      <c r="O273" t="s">
        <v>356</v>
      </c>
      <c r="P273" t="s">
        <v>356</v>
      </c>
      <c r="Q273" t="s">
        <v>356</v>
      </c>
      <c r="R273" t="s">
        <v>356</v>
      </c>
      <c r="S273" cm="1">
        <f t="array" ref="S273">IFERROR(LOOKUP(2,1/(E273:R273&lt;&gt;".."),E273:R273)/100,"")</f>
        <v>0.30224030000000002</v>
      </c>
      <c r="T273" cm="1">
        <f t="array" ref="T273">IFERROR(--LEFT(LOOKUP(2,1/(E273:R273&lt;&gt;".."),E$1:R$1),4),"")</f>
        <v>2015</v>
      </c>
    </row>
    <row r="274" spans="1:20" x14ac:dyDescent="0.35">
      <c r="B274" s="1"/>
      <c r="D274" s="1"/>
    </row>
    <row r="275" spans="1:20" x14ac:dyDescent="0.35">
      <c r="B275" s="1"/>
      <c r="D275" s="1"/>
    </row>
    <row r="276" spans="1:20" x14ac:dyDescent="0.35">
      <c r="B276" s="1"/>
      <c r="D276" s="1"/>
    </row>
    <row r="277" spans="1:20" x14ac:dyDescent="0.35">
      <c r="A277" t="s">
        <v>90</v>
      </c>
      <c r="B277" s="1"/>
      <c r="D277" s="1"/>
    </row>
    <row r="278" spans="1:20" x14ac:dyDescent="0.35">
      <c r="A278" t="s">
        <v>421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/>
  </sheetViews>
  <sheetFormatPr defaultRowHeight="14.5" x14ac:dyDescent="0.35"/>
  <cols>
    <col min="1" max="1" width="15.81640625" customWidth="1"/>
    <col min="2" max="6" width="50.81640625" customWidth="1"/>
  </cols>
  <sheetData>
    <row r="1" spans="1:6" x14ac:dyDescent="0.35">
      <c r="A1" t="s">
        <v>150</v>
      </c>
      <c r="B1" t="s">
        <v>248</v>
      </c>
      <c r="C1" t="s">
        <v>306</v>
      </c>
      <c r="D1" t="s">
        <v>380</v>
      </c>
      <c r="E1" t="s">
        <v>277</v>
      </c>
      <c r="F1" t="s">
        <v>30</v>
      </c>
    </row>
    <row r="2" spans="1:6" x14ac:dyDescent="0.35">
      <c r="A2" t="s">
        <v>318</v>
      </c>
      <c r="B2" t="s">
        <v>88</v>
      </c>
      <c r="C2" t="s">
        <v>163</v>
      </c>
      <c r="D2" t="s">
        <v>163</v>
      </c>
      <c r="E2" t="s">
        <v>4</v>
      </c>
      <c r="F2" t="s">
        <v>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B1DC7-0EF4-477C-94FA-E3EBA277BBAC}">
  <dimension ref="A1:E273"/>
  <sheetViews>
    <sheetView tabSelected="1" workbookViewId="0">
      <selection activeCell="I6" sqref="I6"/>
    </sheetView>
  </sheetViews>
  <sheetFormatPr defaultRowHeight="14.5" x14ac:dyDescent="0.35"/>
  <cols>
    <col min="1" max="1" width="35.26953125" customWidth="1"/>
  </cols>
  <sheetData>
    <row r="1" spans="1:5" x14ac:dyDescent="0.35">
      <c r="A1" t="s">
        <v>579</v>
      </c>
      <c r="B1" t="s">
        <v>578</v>
      </c>
      <c r="C1" t="s">
        <v>581</v>
      </c>
      <c r="D1" t="s">
        <v>580</v>
      </c>
      <c r="E1" t="s">
        <v>577</v>
      </c>
    </row>
    <row r="2" spans="1:5" x14ac:dyDescent="0.35">
      <c r="A2" t="s">
        <v>436</v>
      </c>
      <c r="B2" s="1" t="s">
        <v>332</v>
      </c>
      <c r="C2" t="s">
        <v>576</v>
      </c>
      <c r="D2" t="str" cm="1">
        <f t="array" ref="D2">IFERROR(--LEFT(LOOKUP(2,1/(#REF!&lt;&gt;".."),#REF!),4),"")</f>
        <v/>
      </c>
      <c r="E2" t="str">
        <f>IFERROR((C2-MIN(C:C))/(MAX(C:C)-MIN(C:C)),"")</f>
        <v/>
      </c>
    </row>
    <row r="3" spans="1:5" x14ac:dyDescent="0.35">
      <c r="A3" t="s">
        <v>104</v>
      </c>
      <c r="B3" s="1" t="s">
        <v>260</v>
      </c>
      <c r="C3" t="s">
        <v>576</v>
      </c>
      <c r="D3" t="s">
        <v>576</v>
      </c>
      <c r="E3" t="str">
        <f t="shared" ref="E3:E66" si="0">IFERROR((C3-MIN(C:C))/(MAX(C:C)-MIN(C:C)),"")</f>
        <v/>
      </c>
    </row>
    <row r="4" spans="1:5" x14ac:dyDescent="0.35">
      <c r="A4" t="s">
        <v>446</v>
      </c>
      <c r="B4" s="1" t="s">
        <v>519</v>
      </c>
      <c r="C4" t="s">
        <v>576</v>
      </c>
      <c r="D4" t="s">
        <v>576</v>
      </c>
      <c r="E4" t="str">
        <f t="shared" si="0"/>
        <v/>
      </c>
    </row>
    <row r="5" spans="1:5" x14ac:dyDescent="0.35">
      <c r="A5" t="s">
        <v>328</v>
      </c>
      <c r="B5" s="1" t="s">
        <v>456</v>
      </c>
      <c r="C5" t="s">
        <v>576</v>
      </c>
      <c r="D5" t="s">
        <v>576</v>
      </c>
      <c r="E5" t="str">
        <f t="shared" si="0"/>
        <v/>
      </c>
    </row>
    <row r="6" spans="1:5" x14ac:dyDescent="0.35">
      <c r="A6" t="s">
        <v>208</v>
      </c>
      <c r="B6" s="1" t="s">
        <v>181</v>
      </c>
      <c r="C6" t="s">
        <v>576</v>
      </c>
      <c r="D6" t="s">
        <v>576</v>
      </c>
      <c r="E6" t="str">
        <f t="shared" si="0"/>
        <v/>
      </c>
    </row>
    <row r="7" spans="1:5" x14ac:dyDescent="0.35">
      <c r="A7" t="s">
        <v>331</v>
      </c>
      <c r="B7" s="1" t="s">
        <v>327</v>
      </c>
      <c r="C7" t="s">
        <v>576</v>
      </c>
      <c r="D7" t="s">
        <v>576</v>
      </c>
      <c r="E7" t="str">
        <f t="shared" si="0"/>
        <v/>
      </c>
    </row>
    <row r="8" spans="1:5" x14ac:dyDescent="0.35">
      <c r="A8" t="s">
        <v>221</v>
      </c>
      <c r="B8" s="1" t="s">
        <v>54</v>
      </c>
      <c r="C8" t="s">
        <v>576</v>
      </c>
      <c r="D8" t="s">
        <v>576</v>
      </c>
      <c r="E8" t="str">
        <f t="shared" si="0"/>
        <v/>
      </c>
    </row>
    <row r="9" spans="1:5" x14ac:dyDescent="0.35">
      <c r="A9" t="s">
        <v>83</v>
      </c>
      <c r="B9" s="1" t="s">
        <v>216</v>
      </c>
      <c r="C9" t="s">
        <v>576</v>
      </c>
      <c r="D9" t="s">
        <v>576</v>
      </c>
      <c r="E9" t="str">
        <f t="shared" si="0"/>
        <v/>
      </c>
    </row>
    <row r="10" spans="1:5" x14ac:dyDescent="0.35">
      <c r="A10" t="s">
        <v>422</v>
      </c>
      <c r="B10" s="1" t="s">
        <v>109</v>
      </c>
      <c r="C10" t="s">
        <v>576</v>
      </c>
      <c r="D10" t="s">
        <v>576</v>
      </c>
      <c r="E10" t="str">
        <f t="shared" si="0"/>
        <v/>
      </c>
    </row>
    <row r="11" spans="1:5" x14ac:dyDescent="0.35">
      <c r="A11" t="s">
        <v>91</v>
      </c>
      <c r="B11" s="1" t="s">
        <v>377</v>
      </c>
      <c r="C11" t="s">
        <v>576</v>
      </c>
      <c r="D11" t="s">
        <v>576</v>
      </c>
      <c r="E11" t="str">
        <f t="shared" si="0"/>
        <v/>
      </c>
    </row>
    <row r="12" spans="1:5" x14ac:dyDescent="0.35">
      <c r="A12" t="s">
        <v>3</v>
      </c>
      <c r="B12" s="1" t="s">
        <v>251</v>
      </c>
      <c r="C12" t="s">
        <v>576</v>
      </c>
      <c r="D12" t="s">
        <v>576</v>
      </c>
      <c r="E12" t="str">
        <f t="shared" si="0"/>
        <v/>
      </c>
    </row>
    <row r="13" spans="1:5" x14ac:dyDescent="0.35">
      <c r="A13" t="s">
        <v>102</v>
      </c>
      <c r="B13" s="1" t="s">
        <v>238</v>
      </c>
      <c r="C13" t="s">
        <v>576</v>
      </c>
      <c r="D13" t="s">
        <v>576</v>
      </c>
      <c r="E13" t="str">
        <f t="shared" si="0"/>
        <v/>
      </c>
    </row>
    <row r="14" spans="1:5" x14ac:dyDescent="0.35">
      <c r="A14" t="s">
        <v>472</v>
      </c>
      <c r="B14" s="1" t="s">
        <v>400</v>
      </c>
      <c r="C14" t="s">
        <v>576</v>
      </c>
      <c r="D14" t="s">
        <v>576</v>
      </c>
      <c r="E14" t="str">
        <f t="shared" si="0"/>
        <v/>
      </c>
    </row>
    <row r="15" spans="1:5" x14ac:dyDescent="0.35">
      <c r="A15" t="s">
        <v>533</v>
      </c>
      <c r="B15" s="1" t="s">
        <v>130</v>
      </c>
      <c r="C15" t="s">
        <v>576</v>
      </c>
      <c r="D15" t="s">
        <v>576</v>
      </c>
      <c r="E15" t="str">
        <f t="shared" si="0"/>
        <v/>
      </c>
    </row>
    <row r="16" spans="1:5" x14ac:dyDescent="0.35">
      <c r="A16" t="s">
        <v>96</v>
      </c>
      <c r="B16" s="1" t="s">
        <v>244</v>
      </c>
      <c r="C16" t="s">
        <v>576</v>
      </c>
      <c r="D16" t="s">
        <v>576</v>
      </c>
      <c r="E16" t="str">
        <f t="shared" si="0"/>
        <v/>
      </c>
    </row>
    <row r="17" spans="1:5" x14ac:dyDescent="0.35">
      <c r="A17" t="s">
        <v>531</v>
      </c>
      <c r="B17" s="1" t="s">
        <v>271</v>
      </c>
      <c r="C17" t="s">
        <v>576</v>
      </c>
      <c r="D17" t="s">
        <v>576</v>
      </c>
      <c r="E17" t="str">
        <f t="shared" si="0"/>
        <v/>
      </c>
    </row>
    <row r="18" spans="1:5" x14ac:dyDescent="0.35">
      <c r="A18" t="s">
        <v>22</v>
      </c>
      <c r="B18" s="1" t="s">
        <v>350</v>
      </c>
      <c r="C18" t="s">
        <v>576</v>
      </c>
      <c r="D18" t="s">
        <v>576</v>
      </c>
      <c r="E18" t="str">
        <f t="shared" si="0"/>
        <v/>
      </c>
    </row>
    <row r="19" spans="1:5" x14ac:dyDescent="0.35">
      <c r="A19" t="s">
        <v>182</v>
      </c>
      <c r="B19" s="1" t="s">
        <v>469</v>
      </c>
      <c r="C19" t="s">
        <v>576</v>
      </c>
      <c r="D19" t="s">
        <v>576</v>
      </c>
      <c r="E19" t="str">
        <f t="shared" si="0"/>
        <v/>
      </c>
    </row>
    <row r="20" spans="1:5" x14ac:dyDescent="0.35">
      <c r="A20" t="s">
        <v>375</v>
      </c>
      <c r="B20" s="1" t="s">
        <v>190</v>
      </c>
      <c r="C20" t="s">
        <v>576</v>
      </c>
      <c r="D20" t="s">
        <v>576</v>
      </c>
      <c r="E20" t="str">
        <f t="shared" si="0"/>
        <v/>
      </c>
    </row>
    <row r="21" spans="1:5" x14ac:dyDescent="0.35">
      <c r="A21" t="s">
        <v>537</v>
      </c>
      <c r="B21" s="1" t="s">
        <v>159</v>
      </c>
      <c r="C21" t="s">
        <v>576</v>
      </c>
      <c r="D21" t="s">
        <v>576</v>
      </c>
      <c r="E21" t="str">
        <f t="shared" si="0"/>
        <v/>
      </c>
    </row>
    <row r="22" spans="1:5" x14ac:dyDescent="0.35">
      <c r="A22" t="s">
        <v>144</v>
      </c>
      <c r="B22" s="1" t="s">
        <v>224</v>
      </c>
      <c r="C22" t="s">
        <v>576</v>
      </c>
      <c r="D22" t="s">
        <v>576</v>
      </c>
      <c r="E22" t="str">
        <f t="shared" si="0"/>
        <v/>
      </c>
    </row>
    <row r="23" spans="1:5" x14ac:dyDescent="0.35">
      <c r="A23" t="s">
        <v>209</v>
      </c>
      <c r="B23" s="1" t="s">
        <v>211</v>
      </c>
      <c r="C23" t="s">
        <v>576</v>
      </c>
      <c r="D23" t="s">
        <v>576</v>
      </c>
      <c r="E23" t="str">
        <f t="shared" si="0"/>
        <v/>
      </c>
    </row>
    <row r="24" spans="1:5" x14ac:dyDescent="0.35">
      <c r="A24" t="s">
        <v>450</v>
      </c>
      <c r="B24" s="1" t="s">
        <v>287</v>
      </c>
      <c r="C24" t="s">
        <v>576</v>
      </c>
      <c r="D24" t="s">
        <v>576</v>
      </c>
      <c r="E24" t="str">
        <f t="shared" si="0"/>
        <v/>
      </c>
    </row>
    <row r="25" spans="1:5" x14ac:dyDescent="0.35">
      <c r="A25" t="s">
        <v>225</v>
      </c>
      <c r="B25" s="1" t="s">
        <v>322</v>
      </c>
      <c r="C25" t="s">
        <v>576</v>
      </c>
      <c r="D25" t="s">
        <v>576</v>
      </c>
      <c r="E25" t="str">
        <f t="shared" si="0"/>
        <v/>
      </c>
    </row>
    <row r="26" spans="1:5" x14ac:dyDescent="0.35">
      <c r="A26" t="s">
        <v>122</v>
      </c>
      <c r="B26" s="1" t="s">
        <v>555</v>
      </c>
      <c r="C26" t="s">
        <v>576</v>
      </c>
      <c r="D26" t="s">
        <v>576</v>
      </c>
      <c r="E26" t="str">
        <f t="shared" si="0"/>
        <v/>
      </c>
    </row>
    <row r="27" spans="1:5" x14ac:dyDescent="0.35">
      <c r="A27" t="s">
        <v>358</v>
      </c>
      <c r="B27" s="1" t="s">
        <v>550</v>
      </c>
      <c r="C27" t="s">
        <v>576</v>
      </c>
      <c r="D27" t="s">
        <v>576</v>
      </c>
      <c r="E27" t="str">
        <f t="shared" si="0"/>
        <v/>
      </c>
    </row>
    <row r="28" spans="1:5" x14ac:dyDescent="0.35">
      <c r="A28" t="s">
        <v>300</v>
      </c>
      <c r="B28" s="1" t="s">
        <v>46</v>
      </c>
      <c r="C28" t="s">
        <v>576</v>
      </c>
      <c r="D28" t="s">
        <v>576</v>
      </c>
      <c r="E28" t="str">
        <f t="shared" si="0"/>
        <v/>
      </c>
    </row>
    <row r="29" spans="1:5" x14ac:dyDescent="0.35">
      <c r="A29" t="s">
        <v>388</v>
      </c>
      <c r="B29" s="1" t="s">
        <v>247</v>
      </c>
      <c r="C29" t="s">
        <v>576</v>
      </c>
      <c r="D29" t="s">
        <v>576</v>
      </c>
      <c r="E29" t="str">
        <f t="shared" si="0"/>
        <v/>
      </c>
    </row>
    <row r="30" spans="1:5" x14ac:dyDescent="0.35">
      <c r="A30" t="s">
        <v>275</v>
      </c>
      <c r="B30" s="1" t="s">
        <v>198</v>
      </c>
      <c r="C30" t="s">
        <v>576</v>
      </c>
      <c r="D30" t="s">
        <v>576</v>
      </c>
      <c r="E30" t="str">
        <f t="shared" si="0"/>
        <v/>
      </c>
    </row>
    <row r="31" spans="1:5" x14ac:dyDescent="0.35">
      <c r="A31" t="s">
        <v>78</v>
      </c>
      <c r="B31" s="1" t="s">
        <v>27</v>
      </c>
      <c r="C31" t="s">
        <v>576</v>
      </c>
      <c r="D31" t="s">
        <v>576</v>
      </c>
      <c r="E31" t="str">
        <f t="shared" si="0"/>
        <v/>
      </c>
    </row>
    <row r="32" spans="1:5" x14ac:dyDescent="0.35">
      <c r="A32" t="s">
        <v>48</v>
      </c>
      <c r="B32" s="1" t="s">
        <v>409</v>
      </c>
      <c r="C32" t="s">
        <v>576</v>
      </c>
      <c r="D32" t="s">
        <v>576</v>
      </c>
      <c r="E32" t="str">
        <f t="shared" si="0"/>
        <v/>
      </c>
    </row>
    <row r="33" spans="1:5" x14ac:dyDescent="0.35">
      <c r="A33" t="s">
        <v>389</v>
      </c>
      <c r="B33" s="1" t="s">
        <v>561</v>
      </c>
      <c r="C33" t="s">
        <v>576</v>
      </c>
      <c r="D33" t="s">
        <v>576</v>
      </c>
      <c r="E33" t="str">
        <f t="shared" si="0"/>
        <v/>
      </c>
    </row>
    <row r="34" spans="1:5" x14ac:dyDescent="0.35">
      <c r="A34" t="s">
        <v>141</v>
      </c>
      <c r="B34" s="1" t="s">
        <v>73</v>
      </c>
      <c r="C34" t="s">
        <v>576</v>
      </c>
      <c r="D34" t="s">
        <v>576</v>
      </c>
      <c r="E34" t="str">
        <f t="shared" si="0"/>
        <v/>
      </c>
    </row>
    <row r="35" spans="1:5" x14ac:dyDescent="0.35">
      <c r="A35" t="s">
        <v>417</v>
      </c>
      <c r="B35" s="1" t="s">
        <v>557</v>
      </c>
      <c r="C35" t="s">
        <v>576</v>
      </c>
      <c r="D35" t="s">
        <v>576</v>
      </c>
      <c r="E35" t="str">
        <f t="shared" si="0"/>
        <v/>
      </c>
    </row>
    <row r="36" spans="1:5" x14ac:dyDescent="0.35">
      <c r="A36" t="s">
        <v>173</v>
      </c>
      <c r="B36" s="1" t="s">
        <v>512</v>
      </c>
      <c r="C36" t="s">
        <v>576</v>
      </c>
      <c r="D36" t="s">
        <v>576</v>
      </c>
      <c r="E36" t="str">
        <f t="shared" si="0"/>
        <v/>
      </c>
    </row>
    <row r="37" spans="1:5" x14ac:dyDescent="0.35">
      <c r="A37" t="s">
        <v>308</v>
      </c>
      <c r="B37" s="1" t="s">
        <v>523</v>
      </c>
      <c r="C37" t="s">
        <v>576</v>
      </c>
      <c r="D37" t="s">
        <v>576</v>
      </c>
      <c r="E37" t="str">
        <f t="shared" si="0"/>
        <v/>
      </c>
    </row>
    <row r="38" spans="1:5" x14ac:dyDescent="0.35">
      <c r="A38" t="s">
        <v>505</v>
      </c>
      <c r="B38" s="1" t="s">
        <v>401</v>
      </c>
      <c r="C38" t="s">
        <v>576</v>
      </c>
      <c r="D38" t="s">
        <v>576</v>
      </c>
      <c r="E38" t="str">
        <f t="shared" si="0"/>
        <v/>
      </c>
    </row>
    <row r="39" spans="1:5" x14ac:dyDescent="0.35">
      <c r="A39" t="s">
        <v>116</v>
      </c>
      <c r="B39" s="1" t="s">
        <v>482</v>
      </c>
      <c r="C39" t="s">
        <v>576</v>
      </c>
      <c r="D39" t="s">
        <v>576</v>
      </c>
      <c r="E39" t="str">
        <f t="shared" si="0"/>
        <v/>
      </c>
    </row>
    <row r="40" spans="1:5" x14ac:dyDescent="0.35">
      <c r="A40" t="s">
        <v>254</v>
      </c>
      <c r="B40" s="1" t="s">
        <v>264</v>
      </c>
      <c r="C40" t="s">
        <v>576</v>
      </c>
      <c r="D40" t="s">
        <v>576</v>
      </c>
      <c r="E40" t="str">
        <f t="shared" si="0"/>
        <v/>
      </c>
    </row>
    <row r="41" spans="1:5" x14ac:dyDescent="0.35">
      <c r="A41" t="s">
        <v>183</v>
      </c>
      <c r="B41" s="1" t="s">
        <v>129</v>
      </c>
      <c r="C41" t="s">
        <v>576</v>
      </c>
      <c r="D41" t="s">
        <v>576</v>
      </c>
      <c r="E41" t="str">
        <f t="shared" si="0"/>
        <v/>
      </c>
    </row>
    <row r="42" spans="1:5" x14ac:dyDescent="0.35">
      <c r="A42" t="s">
        <v>372</v>
      </c>
      <c r="B42" s="1" t="s">
        <v>355</v>
      </c>
      <c r="C42" t="s">
        <v>576</v>
      </c>
      <c r="D42" t="s">
        <v>576</v>
      </c>
      <c r="E42" t="str">
        <f t="shared" si="0"/>
        <v/>
      </c>
    </row>
    <row r="43" spans="1:5" x14ac:dyDescent="0.35">
      <c r="A43" t="s">
        <v>299</v>
      </c>
      <c r="B43" s="1" t="s">
        <v>556</v>
      </c>
      <c r="C43" t="s">
        <v>576</v>
      </c>
      <c r="D43" t="s">
        <v>576</v>
      </c>
      <c r="E43" t="str">
        <f t="shared" si="0"/>
        <v/>
      </c>
    </row>
    <row r="44" spans="1:5" x14ac:dyDescent="0.35">
      <c r="A44" t="s">
        <v>145</v>
      </c>
      <c r="B44" s="1" t="s">
        <v>292</v>
      </c>
      <c r="C44" t="s">
        <v>576</v>
      </c>
      <c r="D44" t="s">
        <v>576</v>
      </c>
      <c r="E44" t="str">
        <f t="shared" si="0"/>
        <v/>
      </c>
    </row>
    <row r="45" spans="1:5" x14ac:dyDescent="0.35">
      <c r="A45" t="s">
        <v>476</v>
      </c>
      <c r="B45" s="1" t="s">
        <v>466</v>
      </c>
      <c r="C45" t="s">
        <v>576</v>
      </c>
      <c r="D45" t="s">
        <v>576</v>
      </c>
      <c r="E45" t="str">
        <f t="shared" si="0"/>
        <v/>
      </c>
    </row>
    <row r="46" spans="1:5" x14ac:dyDescent="0.35">
      <c r="A46" t="s">
        <v>64</v>
      </c>
      <c r="B46" s="1" t="s">
        <v>196</v>
      </c>
      <c r="C46" t="s">
        <v>576</v>
      </c>
      <c r="D46" t="s">
        <v>576</v>
      </c>
      <c r="E46" t="str">
        <f t="shared" si="0"/>
        <v/>
      </c>
    </row>
    <row r="47" spans="1:5" x14ac:dyDescent="0.35">
      <c r="A47" t="s">
        <v>503</v>
      </c>
      <c r="B47" s="1" t="s">
        <v>201</v>
      </c>
      <c r="C47" t="s">
        <v>576</v>
      </c>
      <c r="D47" t="s">
        <v>576</v>
      </c>
      <c r="E47" t="str">
        <f t="shared" si="0"/>
        <v/>
      </c>
    </row>
    <row r="48" spans="1:5" x14ac:dyDescent="0.35">
      <c r="A48" t="s">
        <v>276</v>
      </c>
      <c r="B48" s="1" t="s">
        <v>69</v>
      </c>
      <c r="C48" t="s">
        <v>576</v>
      </c>
      <c r="D48" t="s">
        <v>576</v>
      </c>
      <c r="E48" t="str">
        <f t="shared" si="0"/>
        <v/>
      </c>
    </row>
    <row r="49" spans="1:5" x14ac:dyDescent="0.35">
      <c r="A49" t="s">
        <v>105</v>
      </c>
      <c r="B49" s="1" t="s">
        <v>98</v>
      </c>
      <c r="C49" t="s">
        <v>576</v>
      </c>
      <c r="D49" t="s">
        <v>576</v>
      </c>
      <c r="E49" t="str">
        <f t="shared" si="0"/>
        <v/>
      </c>
    </row>
    <row r="50" spans="1:5" x14ac:dyDescent="0.35">
      <c r="A50" t="s">
        <v>253</v>
      </c>
      <c r="B50" s="1" t="s">
        <v>33</v>
      </c>
      <c r="C50" t="s">
        <v>576</v>
      </c>
      <c r="D50" t="s">
        <v>576</v>
      </c>
      <c r="E50" t="str">
        <f t="shared" si="0"/>
        <v/>
      </c>
    </row>
    <row r="51" spans="1:5" x14ac:dyDescent="0.35">
      <c r="A51" t="s">
        <v>186</v>
      </c>
      <c r="B51" s="1" t="s">
        <v>408</v>
      </c>
      <c r="C51" t="s">
        <v>576</v>
      </c>
      <c r="D51" t="s">
        <v>576</v>
      </c>
      <c r="E51" t="str">
        <f t="shared" si="0"/>
        <v/>
      </c>
    </row>
    <row r="52" spans="1:5" x14ac:dyDescent="0.35">
      <c r="A52" t="s">
        <v>335</v>
      </c>
      <c r="B52" s="1" t="s">
        <v>360</v>
      </c>
      <c r="C52" t="s">
        <v>576</v>
      </c>
      <c r="D52" t="s">
        <v>576</v>
      </c>
      <c r="E52" t="str">
        <f t="shared" si="0"/>
        <v/>
      </c>
    </row>
    <row r="53" spans="1:5" x14ac:dyDescent="0.35">
      <c r="A53" t="s">
        <v>397</v>
      </c>
      <c r="B53" s="1" t="s">
        <v>246</v>
      </c>
      <c r="C53" t="s">
        <v>576</v>
      </c>
      <c r="D53" t="s">
        <v>576</v>
      </c>
      <c r="E53" t="str">
        <f t="shared" si="0"/>
        <v/>
      </c>
    </row>
    <row r="54" spans="1:5" x14ac:dyDescent="0.35">
      <c r="A54" t="s">
        <v>452</v>
      </c>
      <c r="B54" s="1" t="s">
        <v>566</v>
      </c>
      <c r="C54" t="s">
        <v>576</v>
      </c>
      <c r="D54" t="s">
        <v>576</v>
      </c>
      <c r="E54" t="str">
        <f t="shared" si="0"/>
        <v/>
      </c>
    </row>
    <row r="55" spans="1:5" x14ac:dyDescent="0.35">
      <c r="A55" t="s">
        <v>310</v>
      </c>
      <c r="B55" s="1" t="s">
        <v>378</v>
      </c>
      <c r="C55" t="s">
        <v>576</v>
      </c>
      <c r="D55" t="s">
        <v>576</v>
      </c>
      <c r="E55" t="str">
        <f t="shared" si="0"/>
        <v/>
      </c>
    </row>
    <row r="56" spans="1:5" x14ac:dyDescent="0.35">
      <c r="A56" t="s">
        <v>26</v>
      </c>
      <c r="B56" s="1" t="s">
        <v>294</v>
      </c>
      <c r="C56" t="s">
        <v>576</v>
      </c>
      <c r="D56" t="s">
        <v>576</v>
      </c>
      <c r="E56" t="str">
        <f t="shared" si="0"/>
        <v/>
      </c>
    </row>
    <row r="57" spans="1:5" x14ac:dyDescent="0.35">
      <c r="A57" t="s">
        <v>236</v>
      </c>
      <c r="B57" s="1" t="s">
        <v>42</v>
      </c>
      <c r="C57" t="s">
        <v>576</v>
      </c>
      <c r="D57" t="s">
        <v>576</v>
      </c>
      <c r="E57" t="str">
        <f t="shared" si="0"/>
        <v/>
      </c>
    </row>
    <row r="58" spans="1:5" x14ac:dyDescent="0.35">
      <c r="A58" t="s">
        <v>8</v>
      </c>
      <c r="B58" s="1" t="s">
        <v>212</v>
      </c>
      <c r="C58" t="s">
        <v>576</v>
      </c>
      <c r="D58" t="s">
        <v>576</v>
      </c>
      <c r="E58" t="str">
        <f t="shared" si="0"/>
        <v/>
      </c>
    </row>
    <row r="59" spans="1:5" x14ac:dyDescent="0.35">
      <c r="A59" t="s">
        <v>169</v>
      </c>
      <c r="B59" s="1" t="s">
        <v>477</v>
      </c>
      <c r="C59" t="s">
        <v>576</v>
      </c>
      <c r="D59" t="s">
        <v>576</v>
      </c>
      <c r="E59" t="str">
        <f t="shared" si="0"/>
        <v/>
      </c>
    </row>
    <row r="60" spans="1:5" x14ac:dyDescent="0.35">
      <c r="A60" t="s">
        <v>361</v>
      </c>
      <c r="B60" s="1" t="s">
        <v>506</v>
      </c>
      <c r="C60" t="s">
        <v>576</v>
      </c>
      <c r="D60" t="s">
        <v>576</v>
      </c>
      <c r="E60" t="str">
        <f t="shared" si="0"/>
        <v/>
      </c>
    </row>
    <row r="61" spans="1:5" x14ac:dyDescent="0.35">
      <c r="A61" t="s">
        <v>200</v>
      </c>
      <c r="B61" s="1" t="s">
        <v>464</v>
      </c>
      <c r="C61" t="s">
        <v>576</v>
      </c>
      <c r="D61" t="s">
        <v>576</v>
      </c>
      <c r="E61" t="str">
        <f t="shared" si="0"/>
        <v/>
      </c>
    </row>
    <row r="62" spans="1:5" x14ac:dyDescent="0.35">
      <c r="A62" t="s">
        <v>384</v>
      </c>
      <c r="B62" s="1" t="s">
        <v>410</v>
      </c>
      <c r="C62" t="s">
        <v>576</v>
      </c>
      <c r="D62" t="s">
        <v>576</v>
      </c>
      <c r="E62" t="str">
        <f t="shared" si="0"/>
        <v/>
      </c>
    </row>
    <row r="63" spans="1:5" x14ac:dyDescent="0.35">
      <c r="A63" t="s">
        <v>219</v>
      </c>
      <c r="B63" s="1" t="s">
        <v>32</v>
      </c>
      <c r="C63" t="s">
        <v>576</v>
      </c>
      <c r="D63" t="s">
        <v>576</v>
      </c>
      <c r="E63" t="str">
        <f t="shared" si="0"/>
        <v/>
      </c>
    </row>
    <row r="64" spans="1:5" x14ac:dyDescent="0.35">
      <c r="A64" t="s">
        <v>31</v>
      </c>
      <c r="B64" s="1" t="s">
        <v>61</v>
      </c>
      <c r="C64" t="s">
        <v>576</v>
      </c>
      <c r="D64" t="s">
        <v>576</v>
      </c>
      <c r="E64" t="str">
        <f t="shared" si="0"/>
        <v/>
      </c>
    </row>
    <row r="65" spans="1:5" x14ac:dyDescent="0.35">
      <c r="A65" t="s">
        <v>16</v>
      </c>
      <c r="B65" s="1" t="s">
        <v>79</v>
      </c>
      <c r="C65" t="s">
        <v>576</v>
      </c>
      <c r="D65" t="s">
        <v>576</v>
      </c>
      <c r="E65" t="str">
        <f t="shared" si="0"/>
        <v/>
      </c>
    </row>
    <row r="66" spans="1:5" x14ac:dyDescent="0.35">
      <c r="A66" t="s">
        <v>126</v>
      </c>
      <c r="B66" s="1" t="s">
        <v>239</v>
      </c>
      <c r="C66" t="s">
        <v>576</v>
      </c>
      <c r="D66" t="s">
        <v>576</v>
      </c>
      <c r="E66" t="str">
        <f t="shared" si="0"/>
        <v/>
      </c>
    </row>
    <row r="67" spans="1:5" x14ac:dyDescent="0.35">
      <c r="A67" t="s">
        <v>214</v>
      </c>
      <c r="B67" s="1" t="s">
        <v>127</v>
      </c>
      <c r="C67" t="s">
        <v>576</v>
      </c>
      <c r="D67" t="s">
        <v>576</v>
      </c>
      <c r="E67" t="str">
        <f t="shared" ref="E67:E130" si="1">IFERROR((C67-MIN(C:C))/(MAX(C:C)-MIN(C:C)),"")</f>
        <v/>
      </c>
    </row>
    <row r="68" spans="1:5" x14ac:dyDescent="0.35">
      <c r="A68" t="s">
        <v>368</v>
      </c>
      <c r="B68" s="1" t="s">
        <v>463</v>
      </c>
      <c r="C68" t="s">
        <v>576</v>
      </c>
      <c r="D68" t="s">
        <v>576</v>
      </c>
      <c r="E68" t="str">
        <f t="shared" si="1"/>
        <v/>
      </c>
    </row>
    <row r="69" spans="1:5" x14ac:dyDescent="0.35">
      <c r="A69" t="s">
        <v>17</v>
      </c>
      <c r="B69" s="1" t="s">
        <v>146</v>
      </c>
      <c r="C69" t="s">
        <v>576</v>
      </c>
      <c r="D69" t="s">
        <v>576</v>
      </c>
      <c r="E69" t="str">
        <f t="shared" si="1"/>
        <v/>
      </c>
    </row>
    <row r="70" spans="1:5" x14ac:dyDescent="0.35">
      <c r="A70" t="s">
        <v>220</v>
      </c>
      <c r="B70" s="1" t="s">
        <v>25</v>
      </c>
      <c r="C70" t="s">
        <v>576</v>
      </c>
      <c r="D70" t="s">
        <v>576</v>
      </c>
      <c r="E70" t="str">
        <f t="shared" si="1"/>
        <v/>
      </c>
    </row>
    <row r="71" spans="1:5" x14ac:dyDescent="0.35">
      <c r="A71" t="s">
        <v>445</v>
      </c>
      <c r="B71" s="1" t="s">
        <v>295</v>
      </c>
      <c r="C71" t="s">
        <v>576</v>
      </c>
      <c r="D71" t="s">
        <v>576</v>
      </c>
      <c r="E71" t="str">
        <f t="shared" si="1"/>
        <v/>
      </c>
    </row>
    <row r="72" spans="1:5" x14ac:dyDescent="0.35">
      <c r="A72" t="s">
        <v>36</v>
      </c>
      <c r="B72" s="1" t="s">
        <v>548</v>
      </c>
      <c r="C72" t="s">
        <v>576</v>
      </c>
      <c r="D72" t="s">
        <v>576</v>
      </c>
      <c r="E72" t="str">
        <f t="shared" si="1"/>
        <v/>
      </c>
    </row>
    <row r="73" spans="1:5" x14ac:dyDescent="0.35">
      <c r="A73" t="s">
        <v>473</v>
      </c>
      <c r="B73" s="1" t="s">
        <v>394</v>
      </c>
      <c r="C73" t="s">
        <v>576</v>
      </c>
      <c r="D73" t="s">
        <v>576</v>
      </c>
      <c r="E73" t="str">
        <f t="shared" si="1"/>
        <v/>
      </c>
    </row>
    <row r="74" spans="1:5" x14ac:dyDescent="0.35">
      <c r="A74" t="s">
        <v>278</v>
      </c>
      <c r="B74" s="1" t="s">
        <v>203</v>
      </c>
      <c r="C74" t="s">
        <v>576</v>
      </c>
      <c r="D74" t="s">
        <v>576</v>
      </c>
      <c r="E74" t="str">
        <f t="shared" si="1"/>
        <v/>
      </c>
    </row>
    <row r="75" spans="1:5" x14ac:dyDescent="0.35">
      <c r="A75" t="s">
        <v>487</v>
      </c>
      <c r="B75" s="1" t="s">
        <v>242</v>
      </c>
      <c r="C75" t="s">
        <v>576</v>
      </c>
      <c r="D75" t="s">
        <v>576</v>
      </c>
      <c r="E75" t="str">
        <f t="shared" si="1"/>
        <v/>
      </c>
    </row>
    <row r="76" spans="1:5" x14ac:dyDescent="0.35">
      <c r="A76" t="s">
        <v>80</v>
      </c>
      <c r="B76" s="1" t="s">
        <v>346</v>
      </c>
      <c r="C76" t="s">
        <v>576</v>
      </c>
      <c r="D76" t="s">
        <v>576</v>
      </c>
      <c r="E76" t="str">
        <f t="shared" si="1"/>
        <v/>
      </c>
    </row>
    <row r="77" spans="1:5" x14ac:dyDescent="0.35">
      <c r="A77" t="s">
        <v>451</v>
      </c>
      <c r="B77" s="1" t="s">
        <v>100</v>
      </c>
      <c r="C77" t="s">
        <v>576</v>
      </c>
      <c r="D77" t="s">
        <v>576</v>
      </c>
      <c r="E77" t="str">
        <f t="shared" si="1"/>
        <v/>
      </c>
    </row>
    <row r="78" spans="1:5" x14ac:dyDescent="0.35">
      <c r="A78" t="s">
        <v>432</v>
      </c>
      <c r="B78" s="1" t="s">
        <v>379</v>
      </c>
      <c r="C78" t="s">
        <v>576</v>
      </c>
      <c r="D78" t="s">
        <v>576</v>
      </c>
      <c r="E78" t="str">
        <f t="shared" si="1"/>
        <v/>
      </c>
    </row>
    <row r="79" spans="1:5" x14ac:dyDescent="0.35">
      <c r="A79" t="s">
        <v>495</v>
      </c>
      <c r="B79" s="1" t="s">
        <v>124</v>
      </c>
      <c r="C79" t="s">
        <v>576</v>
      </c>
      <c r="D79" t="s">
        <v>576</v>
      </c>
      <c r="E79" t="str">
        <f t="shared" si="1"/>
        <v/>
      </c>
    </row>
    <row r="80" spans="1:5" x14ac:dyDescent="0.35">
      <c r="A80" t="s">
        <v>320</v>
      </c>
      <c r="B80" s="1" t="s">
        <v>28</v>
      </c>
      <c r="C80" t="s">
        <v>576</v>
      </c>
      <c r="D80" t="s">
        <v>576</v>
      </c>
      <c r="E80" t="str">
        <f t="shared" si="1"/>
        <v/>
      </c>
    </row>
    <row r="81" spans="1:5" x14ac:dyDescent="0.35">
      <c r="A81" t="s">
        <v>478</v>
      </c>
      <c r="B81" s="1" t="s">
        <v>443</v>
      </c>
      <c r="C81" t="s">
        <v>576</v>
      </c>
      <c r="D81" t="s">
        <v>576</v>
      </c>
      <c r="E81" t="str">
        <f t="shared" si="1"/>
        <v/>
      </c>
    </row>
    <row r="82" spans="1:5" x14ac:dyDescent="0.35">
      <c r="A82" t="s">
        <v>284</v>
      </c>
      <c r="B82" s="1" t="s">
        <v>565</v>
      </c>
      <c r="C82" t="s">
        <v>576</v>
      </c>
      <c r="D82" t="s">
        <v>576</v>
      </c>
      <c r="E82" t="str">
        <f t="shared" si="1"/>
        <v/>
      </c>
    </row>
    <row r="83" spans="1:5" x14ac:dyDescent="0.35">
      <c r="A83" t="s">
        <v>257</v>
      </c>
      <c r="B83" s="1" t="s">
        <v>89</v>
      </c>
      <c r="C83" t="s">
        <v>576</v>
      </c>
      <c r="D83" t="s">
        <v>576</v>
      </c>
      <c r="E83" t="str">
        <f t="shared" si="1"/>
        <v/>
      </c>
    </row>
    <row r="84" spans="1:5" x14ac:dyDescent="0.35">
      <c r="A84" t="s">
        <v>302</v>
      </c>
      <c r="B84" s="1" t="s">
        <v>157</v>
      </c>
      <c r="C84" t="s">
        <v>576</v>
      </c>
      <c r="D84" t="s">
        <v>576</v>
      </c>
      <c r="E84" t="str">
        <f t="shared" si="1"/>
        <v/>
      </c>
    </row>
    <row r="85" spans="1:5" x14ac:dyDescent="0.35">
      <c r="A85" t="s">
        <v>415</v>
      </c>
      <c r="B85" s="1" t="s">
        <v>148</v>
      </c>
      <c r="C85" t="s">
        <v>576</v>
      </c>
      <c r="D85" t="s">
        <v>576</v>
      </c>
      <c r="E85" t="str">
        <f t="shared" si="1"/>
        <v/>
      </c>
    </row>
    <row r="86" spans="1:5" x14ac:dyDescent="0.35">
      <c r="A86" t="s">
        <v>38</v>
      </c>
      <c r="B86" s="1" t="s">
        <v>296</v>
      </c>
      <c r="C86" t="s">
        <v>576</v>
      </c>
      <c r="D86" t="s">
        <v>576</v>
      </c>
      <c r="E86" t="str">
        <f t="shared" si="1"/>
        <v/>
      </c>
    </row>
    <row r="87" spans="1:5" x14ac:dyDescent="0.35">
      <c r="A87" t="s">
        <v>552</v>
      </c>
      <c r="B87" s="1" t="s">
        <v>197</v>
      </c>
      <c r="C87" t="s">
        <v>576</v>
      </c>
      <c r="D87" t="s">
        <v>576</v>
      </c>
      <c r="E87" t="str">
        <f t="shared" si="1"/>
        <v/>
      </c>
    </row>
    <row r="88" spans="1:5" x14ac:dyDescent="0.35">
      <c r="A88" t="s">
        <v>29</v>
      </c>
      <c r="B88" s="1" t="s">
        <v>75</v>
      </c>
      <c r="C88" t="s">
        <v>576</v>
      </c>
      <c r="D88" t="s">
        <v>576</v>
      </c>
      <c r="E88" t="str">
        <f t="shared" si="1"/>
        <v/>
      </c>
    </row>
    <row r="89" spans="1:5" x14ac:dyDescent="0.35">
      <c r="A89" t="s">
        <v>39</v>
      </c>
      <c r="B89" s="1" t="s">
        <v>76</v>
      </c>
      <c r="C89" t="s">
        <v>576</v>
      </c>
      <c r="D89" t="s">
        <v>576</v>
      </c>
      <c r="E89" t="str">
        <f t="shared" si="1"/>
        <v/>
      </c>
    </row>
    <row r="90" spans="1:5" x14ac:dyDescent="0.35">
      <c r="A90" t="s">
        <v>551</v>
      </c>
      <c r="B90" s="1" t="s">
        <v>496</v>
      </c>
      <c r="C90" t="s">
        <v>576</v>
      </c>
      <c r="D90" t="s">
        <v>576</v>
      </c>
      <c r="E90" t="str">
        <f t="shared" si="1"/>
        <v/>
      </c>
    </row>
    <row r="91" spans="1:5" x14ac:dyDescent="0.35">
      <c r="A91" t="s">
        <v>123</v>
      </c>
      <c r="B91" s="1" t="s">
        <v>325</v>
      </c>
      <c r="C91" t="s">
        <v>576</v>
      </c>
      <c r="D91" t="s">
        <v>576</v>
      </c>
      <c r="E91" t="str">
        <f t="shared" si="1"/>
        <v/>
      </c>
    </row>
    <row r="92" spans="1:5" x14ac:dyDescent="0.35">
      <c r="A92" t="s">
        <v>395</v>
      </c>
      <c r="B92" s="1" t="s">
        <v>267</v>
      </c>
      <c r="C92" t="s">
        <v>576</v>
      </c>
      <c r="D92" t="s">
        <v>576</v>
      </c>
      <c r="E92" t="str">
        <f t="shared" si="1"/>
        <v/>
      </c>
    </row>
    <row r="93" spans="1:5" x14ac:dyDescent="0.35">
      <c r="A93" t="s">
        <v>165</v>
      </c>
      <c r="B93" s="1" t="s">
        <v>317</v>
      </c>
      <c r="C93" t="s">
        <v>576</v>
      </c>
      <c r="D93" t="s">
        <v>576</v>
      </c>
      <c r="E93" t="str">
        <f t="shared" si="1"/>
        <v/>
      </c>
    </row>
    <row r="94" spans="1:5" x14ac:dyDescent="0.35">
      <c r="A94" t="s">
        <v>12</v>
      </c>
      <c r="B94" s="1" t="s">
        <v>0</v>
      </c>
      <c r="C94" t="s">
        <v>576</v>
      </c>
      <c r="D94" t="s">
        <v>576</v>
      </c>
      <c r="E94" t="str">
        <f t="shared" si="1"/>
        <v/>
      </c>
    </row>
    <row r="95" spans="1:5" x14ac:dyDescent="0.35">
      <c r="A95" t="s">
        <v>179</v>
      </c>
      <c r="B95" s="1" t="s">
        <v>326</v>
      </c>
      <c r="C95" t="s">
        <v>576</v>
      </c>
      <c r="D95" t="s">
        <v>576</v>
      </c>
      <c r="E95" t="str">
        <f t="shared" si="1"/>
        <v/>
      </c>
    </row>
    <row r="96" spans="1:5" x14ac:dyDescent="0.35">
      <c r="A96" t="s">
        <v>55</v>
      </c>
      <c r="B96" s="1" t="s">
        <v>97</v>
      </c>
      <c r="C96" t="s">
        <v>576</v>
      </c>
      <c r="D96" t="s">
        <v>576</v>
      </c>
      <c r="E96" t="str">
        <f t="shared" si="1"/>
        <v/>
      </c>
    </row>
    <row r="97" spans="1:5" x14ac:dyDescent="0.35">
      <c r="A97" t="s">
        <v>194</v>
      </c>
      <c r="B97" s="1" t="s">
        <v>53</v>
      </c>
      <c r="C97" t="s">
        <v>576</v>
      </c>
      <c r="D97" t="s">
        <v>576</v>
      </c>
      <c r="E97" t="str">
        <f t="shared" si="1"/>
        <v/>
      </c>
    </row>
    <row r="98" spans="1:5" x14ac:dyDescent="0.35">
      <c r="A98" t="s">
        <v>488</v>
      </c>
      <c r="B98" s="1" t="s">
        <v>230</v>
      </c>
      <c r="C98" t="s">
        <v>576</v>
      </c>
      <c r="D98" t="s">
        <v>576</v>
      </c>
      <c r="E98" t="str">
        <f t="shared" si="1"/>
        <v/>
      </c>
    </row>
    <row r="99" spans="1:5" x14ac:dyDescent="0.35">
      <c r="A99" t="s">
        <v>444</v>
      </c>
      <c r="B99" s="1" t="s">
        <v>434</v>
      </c>
      <c r="C99" t="s">
        <v>576</v>
      </c>
      <c r="D99" t="s">
        <v>576</v>
      </c>
      <c r="E99" t="str">
        <f t="shared" si="1"/>
        <v/>
      </c>
    </row>
    <row r="100" spans="1:5" x14ac:dyDescent="0.35">
      <c r="A100" t="s">
        <v>558</v>
      </c>
      <c r="B100" s="1" t="s">
        <v>396</v>
      </c>
      <c r="C100" t="s">
        <v>576</v>
      </c>
      <c r="D100" t="s">
        <v>576</v>
      </c>
      <c r="E100" t="str">
        <f t="shared" si="1"/>
        <v/>
      </c>
    </row>
    <row r="101" spans="1:5" x14ac:dyDescent="0.35">
      <c r="A101" t="s">
        <v>333</v>
      </c>
      <c r="B101" s="1" t="s">
        <v>249</v>
      </c>
      <c r="C101" t="s">
        <v>576</v>
      </c>
      <c r="D101" t="s">
        <v>576</v>
      </c>
      <c r="E101" t="str">
        <f t="shared" si="1"/>
        <v/>
      </c>
    </row>
    <row r="102" spans="1:5" x14ac:dyDescent="0.35">
      <c r="A102" t="s">
        <v>480</v>
      </c>
      <c r="B102" s="1" t="s">
        <v>484</v>
      </c>
      <c r="C102" t="s">
        <v>576</v>
      </c>
      <c r="D102" t="s">
        <v>576</v>
      </c>
      <c r="E102" t="str">
        <f t="shared" si="1"/>
        <v/>
      </c>
    </row>
    <row r="103" spans="1:5" x14ac:dyDescent="0.35">
      <c r="A103" t="s">
        <v>160</v>
      </c>
      <c r="B103" s="1" t="s">
        <v>485</v>
      </c>
      <c r="C103" t="s">
        <v>576</v>
      </c>
      <c r="D103" t="s">
        <v>576</v>
      </c>
      <c r="E103" t="str">
        <f t="shared" si="1"/>
        <v/>
      </c>
    </row>
    <row r="104" spans="1:5" x14ac:dyDescent="0.35">
      <c r="A104" t="s">
        <v>367</v>
      </c>
      <c r="B104" s="1" t="s">
        <v>279</v>
      </c>
      <c r="C104" t="s">
        <v>576</v>
      </c>
      <c r="D104" t="s">
        <v>576</v>
      </c>
      <c r="E104" t="str">
        <f t="shared" si="1"/>
        <v/>
      </c>
    </row>
    <row r="105" spans="1:5" x14ac:dyDescent="0.35">
      <c r="A105" t="s">
        <v>86</v>
      </c>
      <c r="B105" s="1" t="s">
        <v>461</v>
      </c>
      <c r="C105" t="s">
        <v>576</v>
      </c>
      <c r="D105" t="s">
        <v>576</v>
      </c>
      <c r="E105" t="str">
        <f t="shared" si="1"/>
        <v/>
      </c>
    </row>
    <row r="106" spans="1:5" x14ac:dyDescent="0.35">
      <c r="A106" t="s">
        <v>399</v>
      </c>
      <c r="B106" s="1" t="s">
        <v>319</v>
      </c>
      <c r="C106" t="s">
        <v>576</v>
      </c>
      <c r="D106" t="s">
        <v>576</v>
      </c>
      <c r="E106" t="str">
        <f t="shared" si="1"/>
        <v/>
      </c>
    </row>
    <row r="107" spans="1:5" x14ac:dyDescent="0.35">
      <c r="A107" t="s">
        <v>235</v>
      </c>
      <c r="B107" s="1" t="s">
        <v>226</v>
      </c>
      <c r="C107" t="s">
        <v>576</v>
      </c>
      <c r="D107" t="s">
        <v>576</v>
      </c>
      <c r="E107" t="str">
        <f t="shared" si="1"/>
        <v/>
      </c>
    </row>
    <row r="108" spans="1:5" x14ac:dyDescent="0.35">
      <c r="A108" t="s">
        <v>166</v>
      </c>
      <c r="B108" s="1" t="s">
        <v>305</v>
      </c>
      <c r="C108" t="s">
        <v>576</v>
      </c>
      <c r="D108" t="s">
        <v>576</v>
      </c>
      <c r="E108" t="str">
        <f t="shared" si="1"/>
        <v/>
      </c>
    </row>
    <row r="109" spans="1:5" x14ac:dyDescent="0.35">
      <c r="A109" t="s">
        <v>137</v>
      </c>
      <c r="B109" s="1" t="s">
        <v>62</v>
      </c>
      <c r="C109" t="s">
        <v>576</v>
      </c>
      <c r="D109" t="s">
        <v>576</v>
      </c>
      <c r="E109" t="str">
        <f t="shared" si="1"/>
        <v/>
      </c>
    </row>
    <row r="110" spans="1:5" x14ac:dyDescent="0.35">
      <c r="A110" t="s">
        <v>370</v>
      </c>
      <c r="B110" s="1" t="s">
        <v>504</v>
      </c>
      <c r="C110" t="s">
        <v>576</v>
      </c>
      <c r="D110" t="s">
        <v>576</v>
      </c>
      <c r="E110" t="str">
        <f t="shared" si="1"/>
        <v/>
      </c>
    </row>
    <row r="111" spans="1:5" x14ac:dyDescent="0.35">
      <c r="A111" t="s">
        <v>119</v>
      </c>
      <c r="B111" s="1" t="s">
        <v>351</v>
      </c>
      <c r="C111" t="s">
        <v>576</v>
      </c>
      <c r="D111" t="s">
        <v>576</v>
      </c>
      <c r="E111" t="str">
        <f t="shared" si="1"/>
        <v/>
      </c>
    </row>
    <row r="112" spans="1:5" x14ac:dyDescent="0.35">
      <c r="A112" t="s">
        <v>258</v>
      </c>
      <c r="B112" s="1" t="s">
        <v>58</v>
      </c>
      <c r="C112" t="s">
        <v>576</v>
      </c>
      <c r="D112" t="s">
        <v>576</v>
      </c>
      <c r="E112" t="str">
        <f t="shared" si="1"/>
        <v/>
      </c>
    </row>
    <row r="113" spans="1:5" x14ac:dyDescent="0.35">
      <c r="A113" t="s">
        <v>345</v>
      </c>
      <c r="B113" s="1" t="s">
        <v>457</v>
      </c>
      <c r="C113" t="s">
        <v>576</v>
      </c>
      <c r="D113" t="s">
        <v>576</v>
      </c>
      <c r="E113" t="str">
        <f t="shared" si="1"/>
        <v/>
      </c>
    </row>
    <row r="114" spans="1:5" x14ac:dyDescent="0.35">
      <c r="A114" t="s">
        <v>92</v>
      </c>
      <c r="B114" s="1" t="s">
        <v>269</v>
      </c>
      <c r="C114" t="s">
        <v>576</v>
      </c>
      <c r="D114" t="s">
        <v>576</v>
      </c>
      <c r="E114" t="str">
        <f t="shared" si="1"/>
        <v/>
      </c>
    </row>
    <row r="115" spans="1:5" x14ac:dyDescent="0.35">
      <c r="A115" t="s">
        <v>149</v>
      </c>
      <c r="B115" s="1" t="s">
        <v>418</v>
      </c>
      <c r="C115" t="s">
        <v>576</v>
      </c>
      <c r="D115" t="s">
        <v>576</v>
      </c>
      <c r="E115" t="str">
        <f t="shared" si="1"/>
        <v/>
      </c>
    </row>
    <row r="116" spans="1:5" x14ac:dyDescent="0.35">
      <c r="A116" t="s">
        <v>453</v>
      </c>
      <c r="B116" s="1" t="s">
        <v>568</v>
      </c>
      <c r="C116" t="s">
        <v>576</v>
      </c>
      <c r="D116" t="s">
        <v>576</v>
      </c>
      <c r="E116" t="str">
        <f t="shared" si="1"/>
        <v/>
      </c>
    </row>
    <row r="117" spans="1:5" x14ac:dyDescent="0.35">
      <c r="A117" t="s">
        <v>1</v>
      </c>
      <c r="B117" s="1" t="s">
        <v>468</v>
      </c>
      <c r="C117" t="s">
        <v>576</v>
      </c>
      <c r="D117" t="s">
        <v>576</v>
      </c>
      <c r="E117" t="str">
        <f t="shared" si="1"/>
        <v/>
      </c>
    </row>
    <row r="118" spans="1:5" x14ac:dyDescent="0.35">
      <c r="A118" t="s">
        <v>572</v>
      </c>
      <c r="B118" s="1" t="s">
        <v>509</v>
      </c>
      <c r="C118" t="s">
        <v>576</v>
      </c>
      <c r="D118" t="s">
        <v>576</v>
      </c>
      <c r="E118" t="str">
        <f t="shared" si="1"/>
        <v/>
      </c>
    </row>
    <row r="119" spans="1:5" x14ac:dyDescent="0.35">
      <c r="A119" t="s">
        <v>449</v>
      </c>
      <c r="B119" s="1" t="s">
        <v>311</v>
      </c>
      <c r="C119" t="s">
        <v>576</v>
      </c>
      <c r="D119" t="s">
        <v>576</v>
      </c>
      <c r="E119" t="str">
        <f t="shared" si="1"/>
        <v/>
      </c>
    </row>
    <row r="120" spans="1:5" x14ac:dyDescent="0.35">
      <c r="A120" t="s">
        <v>562</v>
      </c>
      <c r="B120" s="1" t="s">
        <v>564</v>
      </c>
      <c r="C120" t="s">
        <v>576</v>
      </c>
      <c r="D120" t="s">
        <v>576</v>
      </c>
      <c r="E120" t="str">
        <f t="shared" si="1"/>
        <v/>
      </c>
    </row>
    <row r="121" spans="1:5" x14ac:dyDescent="0.35">
      <c r="A121" t="s">
        <v>514</v>
      </c>
      <c r="B121" s="1" t="s">
        <v>479</v>
      </c>
      <c r="C121" t="s">
        <v>576</v>
      </c>
      <c r="D121" t="s">
        <v>576</v>
      </c>
      <c r="E121" t="str">
        <f t="shared" si="1"/>
        <v/>
      </c>
    </row>
    <row r="122" spans="1:5" x14ac:dyDescent="0.35">
      <c r="A122" t="s">
        <v>63</v>
      </c>
      <c r="B122" s="1" t="s">
        <v>174</v>
      </c>
      <c r="C122" t="s">
        <v>576</v>
      </c>
      <c r="D122" t="s">
        <v>576</v>
      </c>
      <c r="E122" t="str">
        <f t="shared" si="1"/>
        <v/>
      </c>
    </row>
    <row r="123" spans="1:5" x14ac:dyDescent="0.35">
      <c r="A123" t="s">
        <v>437</v>
      </c>
      <c r="B123" s="1" t="s">
        <v>381</v>
      </c>
      <c r="C123" t="s">
        <v>576</v>
      </c>
      <c r="D123" t="s">
        <v>576</v>
      </c>
      <c r="E123" t="str">
        <f t="shared" si="1"/>
        <v/>
      </c>
    </row>
    <row r="124" spans="1:5" x14ac:dyDescent="0.35">
      <c r="A124" t="s">
        <v>34</v>
      </c>
      <c r="B124" s="1" t="s">
        <v>364</v>
      </c>
      <c r="C124" t="s">
        <v>576</v>
      </c>
      <c r="D124" t="s">
        <v>576</v>
      </c>
      <c r="E124" t="str">
        <f t="shared" si="1"/>
        <v/>
      </c>
    </row>
    <row r="125" spans="1:5" x14ac:dyDescent="0.35">
      <c r="A125" t="s">
        <v>143</v>
      </c>
      <c r="B125" s="1" t="s">
        <v>312</v>
      </c>
      <c r="C125" t="s">
        <v>576</v>
      </c>
      <c r="D125" t="s">
        <v>576</v>
      </c>
      <c r="E125" t="str">
        <f t="shared" si="1"/>
        <v/>
      </c>
    </row>
    <row r="126" spans="1:5" x14ac:dyDescent="0.35">
      <c r="A126" t="s">
        <v>170</v>
      </c>
      <c r="B126" s="1" t="s">
        <v>188</v>
      </c>
      <c r="C126" t="s">
        <v>576</v>
      </c>
      <c r="D126" t="s">
        <v>576</v>
      </c>
      <c r="E126" t="str">
        <f t="shared" si="1"/>
        <v/>
      </c>
    </row>
    <row r="127" spans="1:5" x14ac:dyDescent="0.35">
      <c r="A127" t="s">
        <v>489</v>
      </c>
      <c r="B127" s="1" t="s">
        <v>405</v>
      </c>
      <c r="C127" t="s">
        <v>576</v>
      </c>
      <c r="D127" t="s">
        <v>576</v>
      </c>
      <c r="E127" t="str">
        <f t="shared" si="1"/>
        <v/>
      </c>
    </row>
    <row r="128" spans="1:5" x14ac:dyDescent="0.35">
      <c r="A128" t="s">
        <v>510</v>
      </c>
      <c r="B128" s="1" t="s">
        <v>60</v>
      </c>
      <c r="C128" t="s">
        <v>576</v>
      </c>
      <c r="D128" t="s">
        <v>576</v>
      </c>
      <c r="E128" t="str">
        <f t="shared" si="1"/>
        <v/>
      </c>
    </row>
    <row r="129" spans="1:5" x14ac:dyDescent="0.35">
      <c r="A129" t="s">
        <v>438</v>
      </c>
      <c r="B129" s="1" t="s">
        <v>45</v>
      </c>
      <c r="C129" t="s">
        <v>576</v>
      </c>
      <c r="D129" t="s">
        <v>576</v>
      </c>
      <c r="E129" t="str">
        <f t="shared" si="1"/>
        <v/>
      </c>
    </row>
    <row r="130" spans="1:5" x14ac:dyDescent="0.35">
      <c r="A130" t="s">
        <v>554</v>
      </c>
      <c r="B130" s="1" t="s">
        <v>545</v>
      </c>
      <c r="C130" t="s">
        <v>576</v>
      </c>
      <c r="D130" t="s">
        <v>576</v>
      </c>
      <c r="E130" t="str">
        <f t="shared" si="1"/>
        <v/>
      </c>
    </row>
    <row r="131" spans="1:5" x14ac:dyDescent="0.35">
      <c r="A131" t="s">
        <v>121</v>
      </c>
      <c r="B131" s="1" t="s">
        <v>573</v>
      </c>
      <c r="C131" t="s">
        <v>576</v>
      </c>
      <c r="D131" t="s">
        <v>576</v>
      </c>
      <c r="E131" t="str">
        <f t="shared" ref="E131:E194" si="2">IFERROR((C131-MIN(C:C))/(MAX(C:C)-MIN(C:C)),"")</f>
        <v/>
      </c>
    </row>
    <row r="132" spans="1:5" x14ac:dyDescent="0.35">
      <c r="A132" t="s">
        <v>263</v>
      </c>
      <c r="B132" s="1" t="s">
        <v>429</v>
      </c>
      <c r="C132" t="s">
        <v>576</v>
      </c>
      <c r="D132" t="s">
        <v>576</v>
      </c>
      <c r="E132" t="str">
        <f t="shared" si="2"/>
        <v/>
      </c>
    </row>
    <row r="133" spans="1:5" x14ac:dyDescent="0.35">
      <c r="A133" t="s">
        <v>281</v>
      </c>
      <c r="B133" s="1" t="s">
        <v>67</v>
      </c>
      <c r="C133" t="s">
        <v>576</v>
      </c>
      <c r="D133" t="s">
        <v>576</v>
      </c>
      <c r="E133" t="str">
        <f t="shared" si="2"/>
        <v/>
      </c>
    </row>
    <row r="134" spans="1:5" x14ac:dyDescent="0.35">
      <c r="A134" t="s">
        <v>500</v>
      </c>
      <c r="B134" s="1" t="s">
        <v>462</v>
      </c>
      <c r="C134" t="s">
        <v>576</v>
      </c>
      <c r="D134" t="s">
        <v>576</v>
      </c>
      <c r="E134" t="str">
        <f t="shared" si="2"/>
        <v/>
      </c>
    </row>
    <row r="135" spans="1:5" x14ac:dyDescent="0.35">
      <c r="A135" t="s">
        <v>365</v>
      </c>
      <c r="B135" s="1" t="s">
        <v>382</v>
      </c>
      <c r="C135" t="s">
        <v>576</v>
      </c>
      <c r="D135" t="s">
        <v>576</v>
      </c>
      <c r="E135" t="str">
        <f t="shared" si="2"/>
        <v/>
      </c>
    </row>
    <row r="136" spans="1:5" x14ac:dyDescent="0.35">
      <c r="A136" t="s">
        <v>70</v>
      </c>
      <c r="B136" s="1" t="s">
        <v>291</v>
      </c>
      <c r="C136" t="s">
        <v>576</v>
      </c>
      <c r="D136" t="s">
        <v>576</v>
      </c>
      <c r="E136" t="str">
        <f t="shared" si="2"/>
        <v/>
      </c>
    </row>
    <row r="137" spans="1:5" x14ac:dyDescent="0.35">
      <c r="A137" t="s">
        <v>156</v>
      </c>
      <c r="B137" s="1" t="s">
        <v>553</v>
      </c>
      <c r="C137" t="s">
        <v>576</v>
      </c>
      <c r="D137" t="s">
        <v>576</v>
      </c>
      <c r="E137" t="str">
        <f t="shared" si="2"/>
        <v/>
      </c>
    </row>
    <row r="138" spans="1:5" x14ac:dyDescent="0.35">
      <c r="A138" t="s">
        <v>99</v>
      </c>
      <c r="B138" s="1" t="s">
        <v>68</v>
      </c>
      <c r="C138" t="s">
        <v>576</v>
      </c>
      <c r="D138" t="s">
        <v>576</v>
      </c>
      <c r="E138" t="str">
        <f t="shared" si="2"/>
        <v/>
      </c>
    </row>
    <row r="139" spans="1:5" x14ac:dyDescent="0.35">
      <c r="A139" t="s">
        <v>371</v>
      </c>
      <c r="B139" s="1" t="s">
        <v>525</v>
      </c>
      <c r="C139" t="s">
        <v>576</v>
      </c>
      <c r="D139" t="s">
        <v>576</v>
      </c>
      <c r="E139" t="str">
        <f t="shared" si="2"/>
        <v/>
      </c>
    </row>
    <row r="140" spans="1:5" x14ac:dyDescent="0.35">
      <c r="A140" t="s">
        <v>323</v>
      </c>
      <c r="B140" s="1" t="s">
        <v>433</v>
      </c>
      <c r="C140">
        <v>0.44498690000000002</v>
      </c>
      <c r="D140">
        <v>2019</v>
      </c>
      <c r="E140">
        <f t="shared" si="2"/>
        <v>1</v>
      </c>
    </row>
    <row r="141" spans="1:5" x14ac:dyDescent="0.35">
      <c r="A141" t="s">
        <v>575</v>
      </c>
      <c r="B141" s="1" t="s">
        <v>103</v>
      </c>
      <c r="C141">
        <v>0.43254710000000002</v>
      </c>
      <c r="D141">
        <v>2018</v>
      </c>
      <c r="E141">
        <f t="shared" si="2"/>
        <v>0.97204457030083358</v>
      </c>
    </row>
    <row r="142" spans="1:5" x14ac:dyDescent="0.35">
      <c r="A142" t="s">
        <v>467</v>
      </c>
      <c r="B142" s="1" t="s">
        <v>419</v>
      </c>
      <c r="C142">
        <v>0.4180296</v>
      </c>
      <c r="D142">
        <v>2015</v>
      </c>
      <c r="E142">
        <f t="shared" si="2"/>
        <v>0.93942001438694034</v>
      </c>
    </row>
    <row r="143" spans="1:5" x14ac:dyDescent="0.35">
      <c r="A143" t="s">
        <v>270</v>
      </c>
      <c r="B143" s="1" t="s">
        <v>87</v>
      </c>
      <c r="C143">
        <v>0.4019529</v>
      </c>
      <c r="D143">
        <v>2018</v>
      </c>
      <c r="E143">
        <f t="shared" si="2"/>
        <v>0.90329153509912308</v>
      </c>
    </row>
    <row r="144" spans="1:5" x14ac:dyDescent="0.35">
      <c r="A144" t="s">
        <v>229</v>
      </c>
      <c r="B144" s="1" t="s">
        <v>191</v>
      </c>
      <c r="C144">
        <v>0.40144379999999996</v>
      </c>
      <c r="D144">
        <v>2019</v>
      </c>
      <c r="E144">
        <f t="shared" si="2"/>
        <v>0.90214745647568484</v>
      </c>
    </row>
    <row r="145" spans="1:5" x14ac:dyDescent="0.35">
      <c r="A145" t="s">
        <v>274</v>
      </c>
      <c r="B145" s="1" t="s">
        <v>567</v>
      </c>
      <c r="C145">
        <v>0.39173650000000004</v>
      </c>
      <c r="D145">
        <v>2019</v>
      </c>
      <c r="E145">
        <f t="shared" si="2"/>
        <v>0.88033265698383489</v>
      </c>
    </row>
    <row r="146" spans="1:5" x14ac:dyDescent="0.35">
      <c r="A146" t="s">
        <v>111</v>
      </c>
      <c r="B146" s="1" t="s">
        <v>435</v>
      </c>
      <c r="C146">
        <v>0.38028170000000006</v>
      </c>
      <c r="D146">
        <v>2018</v>
      </c>
      <c r="E146">
        <f t="shared" si="2"/>
        <v>0.85459077559361873</v>
      </c>
    </row>
    <row r="147" spans="1:5" x14ac:dyDescent="0.35">
      <c r="A147" t="s">
        <v>9</v>
      </c>
      <c r="B147" s="1" t="s">
        <v>59</v>
      </c>
      <c r="C147">
        <v>0.35308810000000002</v>
      </c>
      <c r="D147">
        <v>2018</v>
      </c>
      <c r="E147">
        <f t="shared" si="2"/>
        <v>0.79347976311212753</v>
      </c>
    </row>
    <row r="148" spans="1:5" x14ac:dyDescent="0.35">
      <c r="A148" t="s">
        <v>223</v>
      </c>
      <c r="B148" s="1" t="s">
        <v>334</v>
      </c>
      <c r="C148">
        <v>0.34476799999999996</v>
      </c>
      <c r="D148">
        <v>2019</v>
      </c>
      <c r="E148">
        <f t="shared" si="2"/>
        <v>0.77478235876157242</v>
      </c>
    </row>
    <row r="149" spans="1:5" x14ac:dyDescent="0.35">
      <c r="A149" t="s">
        <v>180</v>
      </c>
      <c r="B149" s="1" t="s">
        <v>324</v>
      </c>
      <c r="C149">
        <v>0.34234979999999998</v>
      </c>
      <c r="D149">
        <v>2018</v>
      </c>
      <c r="E149">
        <f t="shared" si="2"/>
        <v>0.76934804148167046</v>
      </c>
    </row>
    <row r="150" spans="1:5" x14ac:dyDescent="0.35">
      <c r="A150" t="s">
        <v>85</v>
      </c>
      <c r="B150" s="1" t="s">
        <v>498</v>
      </c>
      <c r="C150">
        <v>0.33667799999999998</v>
      </c>
      <c r="D150">
        <v>2018</v>
      </c>
      <c r="E150">
        <f t="shared" si="2"/>
        <v>0.75660204828501687</v>
      </c>
    </row>
    <row r="151" spans="1:5" x14ac:dyDescent="0.35">
      <c r="A151" t="s">
        <v>154</v>
      </c>
      <c r="B151" s="1" t="s">
        <v>187</v>
      </c>
      <c r="C151">
        <v>0.33479179999999997</v>
      </c>
      <c r="D151">
        <v>2018</v>
      </c>
      <c r="E151">
        <f t="shared" si="2"/>
        <v>0.7523632718176646</v>
      </c>
    </row>
    <row r="152" spans="1:5" x14ac:dyDescent="0.35">
      <c r="A152" t="s">
        <v>492</v>
      </c>
      <c r="B152" s="1" t="s">
        <v>511</v>
      </c>
      <c r="C152">
        <v>0.33232039999999996</v>
      </c>
      <c r="D152">
        <v>2017</v>
      </c>
      <c r="E152">
        <f t="shared" si="2"/>
        <v>0.74680940045650768</v>
      </c>
    </row>
    <row r="153" spans="1:5" x14ac:dyDescent="0.35">
      <c r="A153" t="s">
        <v>541</v>
      </c>
      <c r="B153" s="1" t="s">
        <v>202</v>
      </c>
      <c r="C153">
        <v>0.32166649999999997</v>
      </c>
      <c r="D153">
        <v>2019</v>
      </c>
      <c r="E153">
        <f t="shared" si="2"/>
        <v>0.72286734733089886</v>
      </c>
    </row>
    <row r="154" spans="1:5" x14ac:dyDescent="0.35">
      <c r="A154" t="s">
        <v>10</v>
      </c>
      <c r="B154" s="1" t="s">
        <v>23</v>
      </c>
      <c r="C154">
        <v>0.31058930000000001</v>
      </c>
      <c r="D154">
        <v>2018</v>
      </c>
      <c r="E154">
        <f t="shared" si="2"/>
        <v>0.6979740302467331</v>
      </c>
    </row>
    <row r="155" spans="1:5" x14ac:dyDescent="0.35">
      <c r="A155" t="s">
        <v>265</v>
      </c>
      <c r="B155" s="1" t="s">
        <v>330</v>
      </c>
      <c r="C155">
        <v>0.3103226</v>
      </c>
      <c r="D155">
        <v>2018</v>
      </c>
      <c r="E155">
        <f t="shared" si="2"/>
        <v>0.69737468676044168</v>
      </c>
    </row>
    <row r="156" spans="1:5" x14ac:dyDescent="0.35">
      <c r="A156" t="s">
        <v>47</v>
      </c>
      <c r="B156" s="1" t="s">
        <v>288</v>
      </c>
      <c r="C156">
        <v>0.30224030000000002</v>
      </c>
      <c r="D156">
        <v>2015</v>
      </c>
      <c r="E156">
        <f t="shared" si="2"/>
        <v>0.67921168016406774</v>
      </c>
    </row>
    <row r="157" spans="1:5" x14ac:dyDescent="0.35">
      <c r="A157" t="s">
        <v>337</v>
      </c>
      <c r="B157" s="1" t="s">
        <v>11</v>
      </c>
      <c r="C157">
        <v>0.301813</v>
      </c>
      <c r="D157">
        <v>2017</v>
      </c>
      <c r="E157">
        <f t="shared" si="2"/>
        <v>0.67825142717684495</v>
      </c>
    </row>
    <row r="158" spans="1:5" x14ac:dyDescent="0.35">
      <c r="A158" t="s">
        <v>74</v>
      </c>
      <c r="B158" s="1" t="s">
        <v>106</v>
      </c>
      <c r="C158">
        <v>0.29642820000000003</v>
      </c>
      <c r="D158">
        <v>2017</v>
      </c>
      <c r="E158">
        <f t="shared" si="2"/>
        <v>0.66615039678696164</v>
      </c>
    </row>
    <row r="159" spans="1:5" x14ac:dyDescent="0.35">
      <c r="A159" t="s">
        <v>164</v>
      </c>
      <c r="B159" s="1" t="s">
        <v>366</v>
      </c>
      <c r="C159">
        <v>0.29344199999999998</v>
      </c>
      <c r="D159">
        <v>2017</v>
      </c>
      <c r="E159">
        <f t="shared" si="2"/>
        <v>0.65943963743651768</v>
      </c>
    </row>
    <row r="160" spans="1:5" x14ac:dyDescent="0.35">
      <c r="A160" t="s">
        <v>118</v>
      </c>
      <c r="B160" s="1" t="s">
        <v>158</v>
      </c>
      <c r="C160">
        <v>0.29093649999999999</v>
      </c>
      <c r="D160">
        <v>2017</v>
      </c>
      <c r="E160">
        <f t="shared" si="2"/>
        <v>0.653809134605985</v>
      </c>
    </row>
    <row r="161" spans="1:5" x14ac:dyDescent="0.35">
      <c r="A161" t="s">
        <v>262</v>
      </c>
      <c r="B161" s="1" t="s">
        <v>234</v>
      </c>
      <c r="C161">
        <v>0.2904854</v>
      </c>
      <c r="D161">
        <v>2016</v>
      </c>
      <c r="E161">
        <f t="shared" si="2"/>
        <v>0.65279539689820076</v>
      </c>
    </row>
    <row r="162" spans="1:5" x14ac:dyDescent="0.35">
      <c r="A162" t="s">
        <v>412</v>
      </c>
      <c r="B162" s="1" t="s">
        <v>41</v>
      </c>
      <c r="C162">
        <v>0.2877131</v>
      </c>
      <c r="D162">
        <v>2016</v>
      </c>
      <c r="E162">
        <f t="shared" si="2"/>
        <v>0.64656532585565996</v>
      </c>
    </row>
    <row r="163" spans="1:5" x14ac:dyDescent="0.35">
      <c r="A163" t="s">
        <v>403</v>
      </c>
      <c r="B163" s="1" t="s">
        <v>290</v>
      </c>
      <c r="C163">
        <v>0.28739750000000003</v>
      </c>
      <c r="D163">
        <v>2017</v>
      </c>
      <c r="E163">
        <f t="shared" si="2"/>
        <v>0.64585609149392942</v>
      </c>
    </row>
    <row r="164" spans="1:5" x14ac:dyDescent="0.35">
      <c r="A164" t="s">
        <v>110</v>
      </c>
      <c r="B164" s="1" t="s">
        <v>108</v>
      </c>
      <c r="C164">
        <v>0.2862498</v>
      </c>
      <c r="D164">
        <v>2015</v>
      </c>
      <c r="E164">
        <f t="shared" si="2"/>
        <v>0.64327691444399826</v>
      </c>
    </row>
    <row r="165" spans="1:5" x14ac:dyDescent="0.35">
      <c r="A165" t="s">
        <v>571</v>
      </c>
      <c r="B165" s="1" t="s">
        <v>205</v>
      </c>
      <c r="C165">
        <v>0.28354679999999999</v>
      </c>
      <c r="D165">
        <v>2019</v>
      </c>
      <c r="E165">
        <f t="shared" si="2"/>
        <v>0.63720257832309213</v>
      </c>
    </row>
    <row r="166" spans="1:5" x14ac:dyDescent="0.35">
      <c r="A166" t="s">
        <v>402</v>
      </c>
      <c r="B166" s="1" t="s">
        <v>458</v>
      </c>
      <c r="C166">
        <v>0.28266869999999999</v>
      </c>
      <c r="D166">
        <v>2018</v>
      </c>
      <c r="E166">
        <f t="shared" si="2"/>
        <v>0.63522926180523509</v>
      </c>
    </row>
    <row r="167" spans="1:5" x14ac:dyDescent="0.35">
      <c r="A167" t="s">
        <v>155</v>
      </c>
      <c r="B167" s="1" t="s">
        <v>470</v>
      </c>
      <c r="C167">
        <v>0.28120239999999996</v>
      </c>
      <c r="D167">
        <v>2018</v>
      </c>
      <c r="E167">
        <f t="shared" si="2"/>
        <v>0.63193410862207389</v>
      </c>
    </row>
    <row r="168" spans="1:5" x14ac:dyDescent="0.35">
      <c r="A168" t="s">
        <v>569</v>
      </c>
      <c r="B168" s="1" t="s">
        <v>363</v>
      </c>
      <c r="C168">
        <v>0.27855019999999997</v>
      </c>
      <c r="D168">
        <v>2016</v>
      </c>
      <c r="E168">
        <f t="shared" si="2"/>
        <v>0.62597393316522343</v>
      </c>
    </row>
    <row r="169" spans="1:5" x14ac:dyDescent="0.35">
      <c r="A169" t="s">
        <v>51</v>
      </c>
      <c r="B169" s="1" t="s">
        <v>240</v>
      </c>
      <c r="C169">
        <v>0.27732699999999999</v>
      </c>
      <c r="D169">
        <v>2017</v>
      </c>
      <c r="E169">
        <f t="shared" si="2"/>
        <v>0.62322508819922562</v>
      </c>
    </row>
    <row r="170" spans="1:5" x14ac:dyDescent="0.35">
      <c r="A170" t="s">
        <v>175</v>
      </c>
      <c r="B170" s="1" t="s">
        <v>52</v>
      </c>
      <c r="C170">
        <v>0.27732440000000003</v>
      </c>
      <c r="D170">
        <v>2018</v>
      </c>
      <c r="E170">
        <f t="shared" si="2"/>
        <v>0.62321924533059292</v>
      </c>
    </row>
    <row r="171" spans="1:5" x14ac:dyDescent="0.35">
      <c r="A171" t="s">
        <v>24</v>
      </c>
      <c r="B171" s="1" t="s">
        <v>20</v>
      </c>
      <c r="C171">
        <v>0.27230219999999999</v>
      </c>
      <c r="D171">
        <v>2018</v>
      </c>
      <c r="E171">
        <f t="shared" si="2"/>
        <v>0.61193307038926315</v>
      </c>
    </row>
    <row r="172" spans="1:5" x14ac:dyDescent="0.35">
      <c r="A172" t="s">
        <v>563</v>
      </c>
      <c r="B172" s="1" t="s">
        <v>7</v>
      </c>
      <c r="C172">
        <v>0.2701462</v>
      </c>
      <c r="D172">
        <v>2017</v>
      </c>
      <c r="E172">
        <f t="shared" si="2"/>
        <v>0.60708798393840357</v>
      </c>
    </row>
    <row r="173" spans="1:5" x14ac:dyDescent="0.35">
      <c r="A173" t="s">
        <v>448</v>
      </c>
      <c r="B173" s="1" t="s">
        <v>517</v>
      </c>
      <c r="C173">
        <v>0.26822679999999999</v>
      </c>
      <c r="D173">
        <v>2018</v>
      </c>
      <c r="E173">
        <f t="shared" si="2"/>
        <v>0.60277459853312532</v>
      </c>
    </row>
    <row r="174" spans="1:5" x14ac:dyDescent="0.35">
      <c r="A174" t="s">
        <v>475</v>
      </c>
      <c r="B174" s="1" t="s">
        <v>404</v>
      </c>
      <c r="C174">
        <v>0.26639199999999996</v>
      </c>
      <c r="D174">
        <v>2018</v>
      </c>
      <c r="E174">
        <f t="shared" si="2"/>
        <v>0.59865133108412838</v>
      </c>
    </row>
    <row r="175" spans="1:5" x14ac:dyDescent="0.35">
      <c r="A175" t="s">
        <v>513</v>
      </c>
      <c r="B175" s="1" t="s">
        <v>393</v>
      </c>
      <c r="C175">
        <v>0.26364339999999997</v>
      </c>
      <c r="D175">
        <v>2015</v>
      </c>
      <c r="E175">
        <f t="shared" si="2"/>
        <v>0.59247452003643242</v>
      </c>
    </row>
    <row r="176" spans="1:5" x14ac:dyDescent="0.35">
      <c r="A176" t="s">
        <v>273</v>
      </c>
      <c r="B176" s="1" t="s">
        <v>255</v>
      </c>
      <c r="C176">
        <v>0.26319619999999999</v>
      </c>
      <c r="D176">
        <v>2016</v>
      </c>
      <c r="E176">
        <f t="shared" si="2"/>
        <v>0.59146954663159745</v>
      </c>
    </row>
    <row r="177" spans="1:5" x14ac:dyDescent="0.35">
      <c r="A177" t="s">
        <v>289</v>
      </c>
      <c r="B177" s="1" t="s">
        <v>374</v>
      </c>
      <c r="C177">
        <v>0.26118069999999999</v>
      </c>
      <c r="D177">
        <v>2018</v>
      </c>
      <c r="E177">
        <f t="shared" si="2"/>
        <v>0.58694019981262369</v>
      </c>
    </row>
    <row r="178" spans="1:5" x14ac:dyDescent="0.35">
      <c r="A178" t="s">
        <v>486</v>
      </c>
      <c r="B178" s="1" t="s">
        <v>192</v>
      </c>
      <c r="C178">
        <v>0.25909739999999998</v>
      </c>
      <c r="D178">
        <v>2019</v>
      </c>
      <c r="E178">
        <f t="shared" si="2"/>
        <v>0.58225848895776477</v>
      </c>
    </row>
    <row r="179" spans="1:5" x14ac:dyDescent="0.35">
      <c r="A179" t="s">
        <v>430</v>
      </c>
      <c r="B179" s="1" t="s">
        <v>534</v>
      </c>
      <c r="C179">
        <v>0.25394329999999998</v>
      </c>
      <c r="D179">
        <v>2018</v>
      </c>
      <c r="E179">
        <f t="shared" si="2"/>
        <v>0.57067590079618069</v>
      </c>
    </row>
    <row r="180" spans="1:5" x14ac:dyDescent="0.35">
      <c r="A180" t="s">
        <v>134</v>
      </c>
      <c r="B180" s="1" t="s">
        <v>348</v>
      </c>
      <c r="C180">
        <v>0.25336029999999998</v>
      </c>
      <c r="D180">
        <v>2018</v>
      </c>
      <c r="E180">
        <f t="shared" si="2"/>
        <v>0.56936574986814215</v>
      </c>
    </row>
    <row r="181" spans="1:5" x14ac:dyDescent="0.35">
      <c r="A181" t="s">
        <v>540</v>
      </c>
      <c r="B181" s="1" t="s">
        <v>507</v>
      </c>
      <c r="C181">
        <v>0.25239139999999999</v>
      </c>
      <c r="D181">
        <v>2017</v>
      </c>
      <c r="E181">
        <f t="shared" si="2"/>
        <v>0.5671883823995717</v>
      </c>
    </row>
    <row r="182" spans="1:5" x14ac:dyDescent="0.35">
      <c r="A182" t="s">
        <v>189</v>
      </c>
      <c r="B182" s="1" t="s">
        <v>385</v>
      </c>
      <c r="C182">
        <v>0.25231789999999998</v>
      </c>
      <c r="D182">
        <v>2016</v>
      </c>
      <c r="E182">
        <f t="shared" si="2"/>
        <v>0.56702320899783787</v>
      </c>
    </row>
    <row r="183" spans="1:5" x14ac:dyDescent="0.35">
      <c r="A183" t="s">
        <v>71</v>
      </c>
      <c r="B183" s="1" t="s">
        <v>217</v>
      </c>
      <c r="C183">
        <v>0.25212370000000001</v>
      </c>
      <c r="D183">
        <v>2018</v>
      </c>
      <c r="E183">
        <f t="shared" si="2"/>
        <v>0.56658679165611392</v>
      </c>
    </row>
    <row r="184" spans="1:5" x14ac:dyDescent="0.35">
      <c r="A184" t="s">
        <v>171</v>
      </c>
      <c r="B184" s="1" t="s">
        <v>353</v>
      </c>
      <c r="C184">
        <v>0.2505327</v>
      </c>
      <c r="D184">
        <v>2019</v>
      </c>
      <c r="E184">
        <f t="shared" si="2"/>
        <v>0.56301140550429685</v>
      </c>
    </row>
    <row r="185" spans="1:5" x14ac:dyDescent="0.35">
      <c r="A185" t="s">
        <v>184</v>
      </c>
      <c r="B185" s="1" t="s">
        <v>549</v>
      </c>
      <c r="C185">
        <v>0.24760570000000001</v>
      </c>
      <c r="D185">
        <v>2019</v>
      </c>
      <c r="E185">
        <f t="shared" si="2"/>
        <v>0.55643368377810676</v>
      </c>
    </row>
    <row r="186" spans="1:5" x14ac:dyDescent="0.35">
      <c r="A186" t="s">
        <v>530</v>
      </c>
      <c r="B186" s="1" t="s">
        <v>2</v>
      </c>
      <c r="C186">
        <v>0.2472934</v>
      </c>
      <c r="D186">
        <v>2019</v>
      </c>
      <c r="E186">
        <f t="shared" si="2"/>
        <v>0.55573186536502528</v>
      </c>
    </row>
    <row r="187" spans="1:5" x14ac:dyDescent="0.35">
      <c r="A187" t="s">
        <v>228</v>
      </c>
      <c r="B187" s="1" t="s">
        <v>241</v>
      </c>
      <c r="C187">
        <v>0.2455977</v>
      </c>
      <c r="D187">
        <v>2019</v>
      </c>
      <c r="E187">
        <f t="shared" si="2"/>
        <v>0.55192119138788132</v>
      </c>
    </row>
    <row r="188" spans="1:5" x14ac:dyDescent="0.35">
      <c r="A188" t="s">
        <v>340</v>
      </c>
      <c r="B188" s="1" t="s">
        <v>338</v>
      </c>
      <c r="C188">
        <v>0.24233550000000001</v>
      </c>
      <c r="D188">
        <v>2019</v>
      </c>
      <c r="E188">
        <f t="shared" si="2"/>
        <v>0.54459018905949819</v>
      </c>
    </row>
    <row r="189" spans="1:5" x14ac:dyDescent="0.35">
      <c r="A189" t="s">
        <v>483</v>
      </c>
      <c r="B189" s="1" t="s">
        <v>343</v>
      </c>
      <c r="C189">
        <v>0.2419916</v>
      </c>
      <c r="D189">
        <v>2018</v>
      </c>
      <c r="E189">
        <f t="shared" si="2"/>
        <v>0.54381735731995706</v>
      </c>
    </row>
    <row r="190" spans="1:5" x14ac:dyDescent="0.35">
      <c r="A190" t="s">
        <v>543</v>
      </c>
      <c r="B190" s="1" t="s">
        <v>142</v>
      </c>
      <c r="C190">
        <v>0.23841680000000001</v>
      </c>
      <c r="D190">
        <v>2018</v>
      </c>
      <c r="E190">
        <f t="shared" si="2"/>
        <v>0.53578386240134257</v>
      </c>
    </row>
    <row r="191" spans="1:5" x14ac:dyDescent="0.35">
      <c r="A191" t="s">
        <v>243</v>
      </c>
      <c r="B191" s="1" t="s">
        <v>172</v>
      </c>
      <c r="C191">
        <v>0.2357012</v>
      </c>
      <c r="D191">
        <v>2018</v>
      </c>
      <c r="E191">
        <f t="shared" si="2"/>
        <v>0.5296812108401393</v>
      </c>
    </row>
    <row r="192" spans="1:5" x14ac:dyDescent="0.35">
      <c r="A192" t="s">
        <v>392</v>
      </c>
      <c r="B192" s="1" t="s">
        <v>529</v>
      </c>
      <c r="C192">
        <v>0.2352245</v>
      </c>
      <c r="D192">
        <v>2019</v>
      </c>
      <c r="E192">
        <f t="shared" si="2"/>
        <v>0.52860994334889411</v>
      </c>
    </row>
    <row r="193" spans="1:5" x14ac:dyDescent="0.35">
      <c r="A193" t="s">
        <v>539</v>
      </c>
      <c r="B193" s="1" t="s">
        <v>316</v>
      </c>
      <c r="C193">
        <v>0.23311180000000001</v>
      </c>
      <c r="D193">
        <v>2017</v>
      </c>
      <c r="E193">
        <f t="shared" si="2"/>
        <v>0.52386216313334166</v>
      </c>
    </row>
    <row r="194" spans="1:5" x14ac:dyDescent="0.35">
      <c r="A194" t="s">
        <v>272</v>
      </c>
      <c r="B194" s="1" t="s">
        <v>431</v>
      </c>
      <c r="C194">
        <v>0.23204550000000002</v>
      </c>
      <c r="D194">
        <v>2019</v>
      </c>
      <c r="E194">
        <f t="shared" si="2"/>
        <v>0.52146591281675936</v>
      </c>
    </row>
    <row r="195" spans="1:5" x14ac:dyDescent="0.35">
      <c r="A195" t="s">
        <v>455</v>
      </c>
      <c r="B195" s="1" t="s">
        <v>313</v>
      </c>
      <c r="C195">
        <v>0.23126930000000001</v>
      </c>
      <c r="D195">
        <v>2018</v>
      </c>
      <c r="E195">
        <f t="shared" ref="E195:E258" si="3">IFERROR((C195-MIN(C:C))/(MAX(C:C)-MIN(C:C)),"")</f>
        <v>0.51972159180416322</v>
      </c>
    </row>
    <row r="196" spans="1:5" x14ac:dyDescent="0.35">
      <c r="A196" t="s">
        <v>218</v>
      </c>
      <c r="B196" s="1" t="s">
        <v>50</v>
      </c>
      <c r="C196">
        <v>0.22963640000000002</v>
      </c>
      <c r="D196">
        <v>2016</v>
      </c>
      <c r="E196">
        <f t="shared" si="3"/>
        <v>0.51605204557707207</v>
      </c>
    </row>
    <row r="197" spans="1:5" x14ac:dyDescent="0.35">
      <c r="A197" t="s">
        <v>439</v>
      </c>
      <c r="B197" s="1" t="s">
        <v>574</v>
      </c>
      <c r="C197">
        <v>0.22675480000000001</v>
      </c>
      <c r="D197">
        <v>2016</v>
      </c>
      <c r="E197">
        <f t="shared" si="3"/>
        <v>0.50957634932623863</v>
      </c>
    </row>
    <row r="198" spans="1:5" x14ac:dyDescent="0.35">
      <c r="A198" t="s">
        <v>527</v>
      </c>
      <c r="B198" s="1" t="s">
        <v>256</v>
      </c>
      <c r="C198">
        <v>0.2251725</v>
      </c>
      <c r="D198">
        <v>2018</v>
      </c>
      <c r="E198">
        <f t="shared" si="3"/>
        <v>0.50602051431176964</v>
      </c>
    </row>
    <row r="199" spans="1:5" x14ac:dyDescent="0.35">
      <c r="A199" t="s">
        <v>19</v>
      </c>
      <c r="B199" s="1" t="s">
        <v>283</v>
      </c>
      <c r="C199">
        <v>0.224605</v>
      </c>
      <c r="D199">
        <v>2018</v>
      </c>
      <c r="E199">
        <f t="shared" si="3"/>
        <v>0.50474519586981093</v>
      </c>
    </row>
    <row r="200" spans="1:5" x14ac:dyDescent="0.35">
      <c r="A200" t="s">
        <v>423</v>
      </c>
      <c r="B200" s="1" t="s">
        <v>140</v>
      </c>
      <c r="C200">
        <v>0.22375620000000002</v>
      </c>
      <c r="D200">
        <v>2018</v>
      </c>
      <c r="E200">
        <f t="shared" si="3"/>
        <v>0.50283772398693083</v>
      </c>
    </row>
    <row r="201" spans="1:5" x14ac:dyDescent="0.35">
      <c r="A201" t="s">
        <v>416</v>
      </c>
      <c r="B201" s="1" t="s">
        <v>407</v>
      </c>
      <c r="C201">
        <v>0.22266649999999999</v>
      </c>
      <c r="D201">
        <v>2018</v>
      </c>
      <c r="E201">
        <f t="shared" si="3"/>
        <v>0.50038888785265356</v>
      </c>
    </row>
    <row r="202" spans="1:5" x14ac:dyDescent="0.35">
      <c r="A202" t="s">
        <v>383</v>
      </c>
      <c r="B202" s="1" t="s">
        <v>297</v>
      </c>
      <c r="C202">
        <v>0.2220288</v>
      </c>
      <c r="D202">
        <v>2018</v>
      </c>
      <c r="E202">
        <f t="shared" si="3"/>
        <v>0.49895581195761041</v>
      </c>
    </row>
    <row r="203" spans="1:5" x14ac:dyDescent="0.35">
      <c r="A203" t="s">
        <v>261</v>
      </c>
      <c r="B203" s="1" t="s">
        <v>125</v>
      </c>
      <c r="C203">
        <v>0.22104170000000001</v>
      </c>
      <c r="D203">
        <v>2017</v>
      </c>
      <c r="E203">
        <f t="shared" si="3"/>
        <v>0.49673754440861068</v>
      </c>
    </row>
    <row r="204" spans="1:5" x14ac:dyDescent="0.35">
      <c r="A204" t="s">
        <v>120</v>
      </c>
      <c r="B204" s="1" t="s">
        <v>465</v>
      </c>
      <c r="C204">
        <v>0.22072549999999999</v>
      </c>
      <c r="D204">
        <v>2018</v>
      </c>
      <c r="E204">
        <f t="shared" si="3"/>
        <v>0.49602696169258015</v>
      </c>
    </row>
    <row r="205" spans="1:5" x14ac:dyDescent="0.35">
      <c r="A205" t="s">
        <v>167</v>
      </c>
      <c r="B205" s="1" t="s">
        <v>206</v>
      </c>
      <c r="C205">
        <v>0.22036069999999999</v>
      </c>
      <c r="D205">
        <v>2017</v>
      </c>
      <c r="E205">
        <f t="shared" si="3"/>
        <v>0.49520716227826028</v>
      </c>
    </row>
    <row r="206" spans="1:5" x14ac:dyDescent="0.35">
      <c r="A206" t="s">
        <v>459</v>
      </c>
      <c r="B206" s="1" t="s">
        <v>373</v>
      </c>
      <c r="C206">
        <v>0.22034619999999999</v>
      </c>
      <c r="D206">
        <v>2019</v>
      </c>
      <c r="E206">
        <f t="shared" si="3"/>
        <v>0.49517457704934681</v>
      </c>
    </row>
    <row r="207" spans="1:5" x14ac:dyDescent="0.35">
      <c r="A207" t="s">
        <v>387</v>
      </c>
      <c r="B207" s="1" t="s">
        <v>115</v>
      </c>
      <c r="C207">
        <v>0.21653990000000001</v>
      </c>
      <c r="D207">
        <v>2018</v>
      </c>
      <c r="E207">
        <f t="shared" si="3"/>
        <v>0.48662084209669992</v>
      </c>
    </row>
    <row r="208" spans="1:5" x14ac:dyDescent="0.35">
      <c r="A208" t="s">
        <v>339</v>
      </c>
      <c r="B208" s="1" t="s">
        <v>538</v>
      </c>
      <c r="C208">
        <v>0.21433050000000001</v>
      </c>
      <c r="D208">
        <v>2018</v>
      </c>
      <c r="E208">
        <f t="shared" si="3"/>
        <v>0.48165575211315209</v>
      </c>
    </row>
    <row r="209" spans="1:5" x14ac:dyDescent="0.35">
      <c r="A209" t="s">
        <v>135</v>
      </c>
      <c r="B209" s="1" t="s">
        <v>43</v>
      </c>
      <c r="C209">
        <v>0.21376600000000001</v>
      </c>
      <c r="D209">
        <v>2018</v>
      </c>
      <c r="E209">
        <f t="shared" si="3"/>
        <v>0.48038717544269283</v>
      </c>
    </row>
    <row r="210" spans="1:5" x14ac:dyDescent="0.35">
      <c r="A210" t="s">
        <v>570</v>
      </c>
      <c r="B210" s="1" t="s">
        <v>250</v>
      </c>
      <c r="C210">
        <v>0.20946169999999997</v>
      </c>
      <c r="D210">
        <v>2018</v>
      </c>
      <c r="E210">
        <f t="shared" si="3"/>
        <v>0.47071430642115525</v>
      </c>
    </row>
    <row r="211" spans="1:5" x14ac:dyDescent="0.35">
      <c r="A211" t="s">
        <v>252</v>
      </c>
      <c r="B211" s="1" t="s">
        <v>447</v>
      </c>
      <c r="C211">
        <v>0.20910090000000001</v>
      </c>
      <c r="D211">
        <v>2018</v>
      </c>
      <c r="E211">
        <f t="shared" si="3"/>
        <v>0.46990349603550124</v>
      </c>
    </row>
    <row r="212" spans="1:5" x14ac:dyDescent="0.35">
      <c r="A212" t="s">
        <v>65</v>
      </c>
      <c r="B212" s="1" t="s">
        <v>411</v>
      </c>
      <c r="C212">
        <v>0.20453640000000001</v>
      </c>
      <c r="D212">
        <v>2019</v>
      </c>
      <c r="E212">
        <f t="shared" si="3"/>
        <v>0.45964589069925427</v>
      </c>
    </row>
    <row r="213" spans="1:5" x14ac:dyDescent="0.35">
      <c r="A213" t="s">
        <v>245</v>
      </c>
      <c r="B213" s="1" t="s">
        <v>95</v>
      </c>
      <c r="C213">
        <v>0.20305679999999998</v>
      </c>
      <c r="D213">
        <v>2017</v>
      </c>
      <c r="E213">
        <f t="shared" si="3"/>
        <v>0.45632084899577935</v>
      </c>
    </row>
    <row r="214" spans="1:5" x14ac:dyDescent="0.35">
      <c r="A214" t="s">
        <v>293</v>
      </c>
      <c r="B214" s="1" t="s">
        <v>349</v>
      </c>
      <c r="C214">
        <v>0.20264600000000002</v>
      </c>
      <c r="D214">
        <v>2019</v>
      </c>
      <c r="E214">
        <f t="shared" si="3"/>
        <v>0.45539767575180307</v>
      </c>
    </row>
    <row r="215" spans="1:5" x14ac:dyDescent="0.35">
      <c r="A215" t="s">
        <v>147</v>
      </c>
      <c r="B215" s="1" t="s">
        <v>133</v>
      </c>
      <c r="C215">
        <v>0.20171839999999999</v>
      </c>
      <c r="D215">
        <v>2018</v>
      </c>
      <c r="E215">
        <f t="shared" si="3"/>
        <v>0.45331312000420682</v>
      </c>
    </row>
    <row r="216" spans="1:5" x14ac:dyDescent="0.35">
      <c r="A216" t="s">
        <v>304</v>
      </c>
      <c r="B216" s="1" t="s">
        <v>114</v>
      </c>
      <c r="C216">
        <v>0.19851579999999999</v>
      </c>
      <c r="D216">
        <v>2019</v>
      </c>
      <c r="E216">
        <f t="shared" si="3"/>
        <v>0.44611605420294392</v>
      </c>
    </row>
    <row r="217" spans="1:5" x14ac:dyDescent="0.35">
      <c r="A217" t="s">
        <v>428</v>
      </c>
      <c r="B217" s="1" t="s">
        <v>298</v>
      </c>
      <c r="C217">
        <v>0.19712370000000001</v>
      </c>
      <c r="D217">
        <v>2019</v>
      </c>
      <c r="E217">
        <f t="shared" si="3"/>
        <v>0.44298764750153319</v>
      </c>
    </row>
    <row r="218" spans="1:5" x14ac:dyDescent="0.35">
      <c r="A218" t="s">
        <v>559</v>
      </c>
      <c r="B218" s="1" t="s">
        <v>215</v>
      </c>
      <c r="C218">
        <v>0.1967246</v>
      </c>
      <c r="D218">
        <v>2018</v>
      </c>
      <c r="E218">
        <f t="shared" si="3"/>
        <v>0.44209076716640422</v>
      </c>
    </row>
    <row r="219" spans="1:5" x14ac:dyDescent="0.35">
      <c r="A219" t="s">
        <v>93</v>
      </c>
      <c r="B219" s="1" t="s">
        <v>37</v>
      </c>
      <c r="C219">
        <v>0.19631900000000002</v>
      </c>
      <c r="D219">
        <v>2018</v>
      </c>
      <c r="E219">
        <f t="shared" si="3"/>
        <v>0.44117927965969339</v>
      </c>
    </row>
    <row r="220" spans="1:5" x14ac:dyDescent="0.35">
      <c r="A220" t="s">
        <v>72</v>
      </c>
      <c r="B220" s="1" t="s">
        <v>352</v>
      </c>
      <c r="C220">
        <v>0.19441890000000001</v>
      </c>
      <c r="D220">
        <v>2018</v>
      </c>
      <c r="E220">
        <f t="shared" si="3"/>
        <v>0.43690926631772753</v>
      </c>
    </row>
    <row r="221" spans="1:5" x14ac:dyDescent="0.35">
      <c r="A221" t="s">
        <v>303</v>
      </c>
      <c r="B221" s="1" t="s">
        <v>440</v>
      </c>
      <c r="C221">
        <v>0.194187</v>
      </c>
      <c r="D221">
        <v>2018</v>
      </c>
      <c r="E221">
        <f t="shared" si="3"/>
        <v>0.43638812738082849</v>
      </c>
    </row>
    <row r="222" spans="1:5" x14ac:dyDescent="0.35">
      <c r="A222" t="s">
        <v>94</v>
      </c>
      <c r="B222" s="1" t="s">
        <v>344</v>
      </c>
      <c r="C222">
        <v>0.19276800000000002</v>
      </c>
      <c r="D222">
        <v>2018</v>
      </c>
      <c r="E222">
        <f t="shared" si="3"/>
        <v>0.43319926946164039</v>
      </c>
    </row>
    <row r="223" spans="1:5" x14ac:dyDescent="0.35">
      <c r="A223" t="s">
        <v>546</v>
      </c>
      <c r="B223" s="1" t="s">
        <v>57</v>
      </c>
      <c r="C223">
        <v>0.18951670000000001</v>
      </c>
      <c r="D223">
        <v>2019</v>
      </c>
      <c r="E223">
        <f t="shared" si="3"/>
        <v>0.42589276223637146</v>
      </c>
    </row>
    <row r="224" spans="1:5" x14ac:dyDescent="0.35">
      <c r="A224" t="s">
        <v>232</v>
      </c>
      <c r="B224" s="1" t="s">
        <v>442</v>
      </c>
      <c r="C224">
        <v>0.18824870000000002</v>
      </c>
      <c r="D224">
        <v>2018</v>
      </c>
      <c r="E224">
        <f t="shared" si="3"/>
        <v>0.42304324014931677</v>
      </c>
    </row>
    <row r="225" spans="1:5" x14ac:dyDescent="0.35">
      <c r="A225" t="s">
        <v>386</v>
      </c>
      <c r="B225" s="1" t="s">
        <v>153</v>
      </c>
      <c r="C225">
        <v>0.18821470000000001</v>
      </c>
      <c r="D225">
        <v>2019</v>
      </c>
      <c r="E225">
        <f t="shared" si="3"/>
        <v>0.42296683340565755</v>
      </c>
    </row>
    <row r="226" spans="1:5" x14ac:dyDescent="0.35">
      <c r="A226" t="s">
        <v>82</v>
      </c>
      <c r="B226" s="1" t="s">
        <v>493</v>
      </c>
      <c r="C226">
        <v>0.18591930000000001</v>
      </c>
      <c r="D226">
        <v>2018</v>
      </c>
      <c r="E226">
        <f t="shared" si="3"/>
        <v>0.41780847930579529</v>
      </c>
    </row>
    <row r="227" spans="1:5" x14ac:dyDescent="0.35">
      <c r="A227" t="s">
        <v>491</v>
      </c>
      <c r="B227" s="1" t="s">
        <v>193</v>
      </c>
      <c r="C227">
        <v>0.18366650000000001</v>
      </c>
      <c r="D227">
        <v>2018</v>
      </c>
      <c r="E227">
        <f t="shared" si="3"/>
        <v>0.41274585836122368</v>
      </c>
    </row>
    <row r="228" spans="1:5" x14ac:dyDescent="0.35">
      <c r="A228" t="s">
        <v>117</v>
      </c>
      <c r="B228" s="1" t="s">
        <v>542</v>
      </c>
      <c r="C228">
        <v>0.1828119</v>
      </c>
      <c r="D228">
        <v>2018</v>
      </c>
      <c r="E228">
        <f t="shared" si="3"/>
        <v>0.41082535238677809</v>
      </c>
    </row>
    <row r="229" spans="1:5" x14ac:dyDescent="0.35">
      <c r="A229" t="s">
        <v>138</v>
      </c>
      <c r="B229" s="1" t="s">
        <v>107</v>
      </c>
      <c r="C229">
        <v>0.1814634</v>
      </c>
      <c r="D229">
        <v>2018</v>
      </c>
      <c r="E229">
        <f t="shared" si="3"/>
        <v>0.40779492609782442</v>
      </c>
    </row>
    <row r="230" spans="1:5" x14ac:dyDescent="0.35">
      <c r="A230" t="s">
        <v>516</v>
      </c>
      <c r="B230" s="1" t="s">
        <v>413</v>
      </c>
      <c r="C230">
        <v>0.18010590000000001</v>
      </c>
      <c r="D230">
        <v>2015</v>
      </c>
      <c r="E230">
        <f t="shared" si="3"/>
        <v>0.40474427449437278</v>
      </c>
    </row>
    <row r="231" spans="1:5" x14ac:dyDescent="0.35">
      <c r="A231" t="s">
        <v>280</v>
      </c>
      <c r="B231" s="1" t="s">
        <v>56</v>
      </c>
      <c r="C231">
        <v>0.1792021</v>
      </c>
      <c r="D231">
        <v>2016</v>
      </c>
      <c r="E231">
        <f t="shared" si="3"/>
        <v>0.40271320346733802</v>
      </c>
    </row>
    <row r="232" spans="1:5" x14ac:dyDescent="0.35">
      <c r="A232" t="s">
        <v>177</v>
      </c>
      <c r="B232" s="1" t="s">
        <v>207</v>
      </c>
      <c r="C232">
        <v>0.1745411</v>
      </c>
      <c r="D232">
        <v>2017</v>
      </c>
      <c r="E232">
        <f t="shared" si="3"/>
        <v>0.39223873781452889</v>
      </c>
    </row>
    <row r="233" spans="1:5" x14ac:dyDescent="0.35">
      <c r="A233" t="s">
        <v>14</v>
      </c>
      <c r="B233" s="1" t="s">
        <v>494</v>
      </c>
      <c r="C233">
        <v>0.17451059999999999</v>
      </c>
      <c r="D233">
        <v>2018</v>
      </c>
      <c r="E233">
        <f t="shared" si="3"/>
        <v>0.39217019647095225</v>
      </c>
    </row>
    <row r="234" spans="1:5" x14ac:dyDescent="0.35">
      <c r="A234" t="s">
        <v>460</v>
      </c>
      <c r="B234" s="1" t="s">
        <v>474</v>
      </c>
      <c r="C234">
        <v>0.17397950000000001</v>
      </c>
      <c r="D234">
        <v>2018</v>
      </c>
      <c r="E234">
        <f t="shared" si="3"/>
        <v>0.39097667818985232</v>
      </c>
    </row>
    <row r="235" spans="1:5" x14ac:dyDescent="0.35">
      <c r="A235" t="s">
        <v>222</v>
      </c>
      <c r="B235" s="1" t="s">
        <v>136</v>
      </c>
      <c r="C235">
        <v>0.17144320000000002</v>
      </c>
      <c r="D235">
        <v>2019</v>
      </c>
      <c r="E235">
        <f t="shared" si="3"/>
        <v>0.385276959838593</v>
      </c>
    </row>
    <row r="236" spans="1:5" x14ac:dyDescent="0.35">
      <c r="A236" t="s">
        <v>502</v>
      </c>
      <c r="B236" s="1" t="s">
        <v>499</v>
      </c>
      <c r="C236">
        <v>0.16989650000000001</v>
      </c>
      <c r="D236">
        <v>2018</v>
      </c>
      <c r="E236">
        <f t="shared" si="3"/>
        <v>0.38180112717924952</v>
      </c>
    </row>
    <row r="237" spans="1:5" x14ac:dyDescent="0.35">
      <c r="A237" t="s">
        <v>301</v>
      </c>
      <c r="B237" s="1" t="s">
        <v>132</v>
      </c>
      <c r="C237">
        <v>0.1647824</v>
      </c>
      <c r="D237">
        <v>2016</v>
      </c>
      <c r="E237">
        <f t="shared" si="3"/>
        <v>0.37030842930432334</v>
      </c>
    </row>
    <row r="238" spans="1:5" x14ac:dyDescent="0.35">
      <c r="A238" t="s">
        <v>309</v>
      </c>
      <c r="B238" s="1" t="s">
        <v>321</v>
      </c>
      <c r="C238">
        <v>0.16411719999999999</v>
      </c>
      <c r="D238">
        <v>2019</v>
      </c>
      <c r="E238">
        <f t="shared" si="3"/>
        <v>0.36881355383720282</v>
      </c>
    </row>
    <row r="239" spans="1:5" x14ac:dyDescent="0.35">
      <c r="A239" t="s">
        <v>231</v>
      </c>
      <c r="B239" s="1" t="s">
        <v>40</v>
      </c>
      <c r="C239">
        <v>0.16126760000000001</v>
      </c>
      <c r="D239">
        <v>2018</v>
      </c>
      <c r="E239">
        <f t="shared" si="3"/>
        <v>0.36240976981569573</v>
      </c>
    </row>
    <row r="240" spans="1:5" x14ac:dyDescent="0.35">
      <c r="A240" t="s">
        <v>44</v>
      </c>
      <c r="B240" s="1" t="s">
        <v>5</v>
      </c>
      <c r="C240">
        <v>0.1583638</v>
      </c>
      <c r="D240">
        <v>2016</v>
      </c>
      <c r="E240">
        <f t="shared" si="3"/>
        <v>0.35588418445576708</v>
      </c>
    </row>
    <row r="241" spans="1:5" x14ac:dyDescent="0.35">
      <c r="A241" t="s">
        <v>213</v>
      </c>
      <c r="B241" s="1" t="s">
        <v>315</v>
      </c>
      <c r="C241">
        <v>0.15679009999999999</v>
      </c>
      <c r="D241">
        <v>2018</v>
      </c>
      <c r="E241">
        <f t="shared" si="3"/>
        <v>0.35234767585292959</v>
      </c>
    </row>
    <row r="242" spans="1:5" x14ac:dyDescent="0.35">
      <c r="A242" t="s">
        <v>490</v>
      </c>
      <c r="B242" s="1" t="s">
        <v>237</v>
      </c>
      <c r="C242">
        <v>0.1559017</v>
      </c>
      <c r="D242">
        <v>2019</v>
      </c>
      <c r="E242">
        <f t="shared" si="3"/>
        <v>0.35035121258625818</v>
      </c>
    </row>
    <row r="243" spans="1:5" x14ac:dyDescent="0.35">
      <c r="A243" t="s">
        <v>227</v>
      </c>
      <c r="B243" s="1" t="s">
        <v>420</v>
      </c>
      <c r="C243">
        <v>0.1546235</v>
      </c>
      <c r="D243">
        <v>2016</v>
      </c>
      <c r="E243">
        <f t="shared" si="3"/>
        <v>0.3474787684761057</v>
      </c>
    </row>
    <row r="244" spans="1:5" x14ac:dyDescent="0.35">
      <c r="A244" t="s">
        <v>139</v>
      </c>
      <c r="B244" s="1" t="s">
        <v>178</v>
      </c>
      <c r="C244">
        <v>0.15426529999999999</v>
      </c>
      <c r="D244">
        <v>2016</v>
      </c>
      <c r="E244">
        <f t="shared" si="3"/>
        <v>0.3466738009590844</v>
      </c>
    </row>
    <row r="245" spans="1:5" x14ac:dyDescent="0.35">
      <c r="A245" t="s">
        <v>481</v>
      </c>
      <c r="B245" s="1" t="s">
        <v>441</v>
      </c>
      <c r="C245">
        <v>0.15359619999999999</v>
      </c>
      <c r="D245">
        <v>2018</v>
      </c>
      <c r="E245">
        <f t="shared" si="3"/>
        <v>0.34517016118901472</v>
      </c>
    </row>
    <row r="246" spans="1:5" x14ac:dyDescent="0.35">
      <c r="A246" t="s">
        <v>341</v>
      </c>
      <c r="B246" s="1" t="s">
        <v>6</v>
      </c>
      <c r="C246">
        <v>0.15202260000000001</v>
      </c>
      <c r="D246">
        <v>2018</v>
      </c>
      <c r="E246">
        <f t="shared" si="3"/>
        <v>0.34163387731189393</v>
      </c>
    </row>
    <row r="247" spans="1:5" x14ac:dyDescent="0.35">
      <c r="A247" t="s">
        <v>210</v>
      </c>
      <c r="B247" s="1" t="s">
        <v>524</v>
      </c>
      <c r="C247">
        <v>0.15149200000000002</v>
      </c>
      <c r="D247">
        <v>2018</v>
      </c>
      <c r="E247">
        <f t="shared" si="3"/>
        <v>0.34044148265937718</v>
      </c>
    </row>
    <row r="248" spans="1:5" x14ac:dyDescent="0.35">
      <c r="A248" t="s">
        <v>162</v>
      </c>
      <c r="B248" s="1" t="s">
        <v>560</v>
      </c>
      <c r="C248">
        <v>0.15130640000000001</v>
      </c>
      <c r="D248">
        <v>2017</v>
      </c>
      <c r="E248">
        <f t="shared" si="3"/>
        <v>0.34002439172928461</v>
      </c>
    </row>
    <row r="249" spans="1:5" x14ac:dyDescent="0.35">
      <c r="A249" t="s">
        <v>342</v>
      </c>
      <c r="B249" s="1" t="s">
        <v>66</v>
      </c>
      <c r="C249">
        <v>0.1511316</v>
      </c>
      <c r="D249">
        <v>2019</v>
      </c>
      <c r="E249">
        <f t="shared" si="3"/>
        <v>0.33963157117658971</v>
      </c>
    </row>
    <row r="250" spans="1:5" x14ac:dyDescent="0.35">
      <c r="A250" t="s">
        <v>101</v>
      </c>
      <c r="B250" s="1" t="s">
        <v>362</v>
      </c>
      <c r="C250">
        <v>0.14673920000000001</v>
      </c>
      <c r="D250">
        <v>2019</v>
      </c>
      <c r="E250">
        <f t="shared" si="3"/>
        <v>0.32976071879868823</v>
      </c>
    </row>
    <row r="251" spans="1:5" x14ac:dyDescent="0.35">
      <c r="A251" t="s">
        <v>176</v>
      </c>
      <c r="B251" s="1" t="s">
        <v>354</v>
      </c>
      <c r="C251">
        <v>0.1420022</v>
      </c>
      <c r="D251">
        <v>2012</v>
      </c>
      <c r="E251">
        <f t="shared" si="3"/>
        <v>0.31911546160122911</v>
      </c>
    </row>
    <row r="252" spans="1:5" x14ac:dyDescent="0.35">
      <c r="A252" t="s">
        <v>185</v>
      </c>
      <c r="B252" s="1" t="s">
        <v>427</v>
      </c>
      <c r="C252">
        <v>0.1373626</v>
      </c>
      <c r="D252">
        <v>2018</v>
      </c>
      <c r="E252">
        <f t="shared" si="3"/>
        <v>0.30868908725178201</v>
      </c>
    </row>
    <row r="253" spans="1:5" x14ac:dyDescent="0.35">
      <c r="A253" t="s">
        <v>390</v>
      </c>
      <c r="B253" s="1" t="s">
        <v>113</v>
      </c>
      <c r="C253">
        <v>0.13580249999999999</v>
      </c>
      <c r="D253">
        <v>2019</v>
      </c>
      <c r="E253">
        <f t="shared" si="3"/>
        <v>0.30518314134640817</v>
      </c>
    </row>
    <row r="254" spans="1:5" x14ac:dyDescent="0.35">
      <c r="A254" t="s">
        <v>369</v>
      </c>
      <c r="B254" s="1" t="s">
        <v>544</v>
      </c>
      <c r="C254">
        <v>0.12958600000000001</v>
      </c>
      <c r="D254">
        <v>2019</v>
      </c>
      <c r="E254">
        <f t="shared" si="3"/>
        <v>0.29121306717119089</v>
      </c>
    </row>
    <row r="255" spans="1:5" x14ac:dyDescent="0.35">
      <c r="A255" t="s">
        <v>520</v>
      </c>
      <c r="B255" s="1" t="s">
        <v>526</v>
      </c>
      <c r="C255">
        <v>0.1234282</v>
      </c>
      <c r="D255">
        <v>2019</v>
      </c>
      <c r="E255">
        <f t="shared" si="3"/>
        <v>0.27737490699164402</v>
      </c>
    </row>
    <row r="256" spans="1:5" x14ac:dyDescent="0.35">
      <c r="A256" t="s">
        <v>515</v>
      </c>
      <c r="B256" s="1" t="s">
        <v>152</v>
      </c>
      <c r="C256">
        <v>0.12119350000000001</v>
      </c>
      <c r="D256">
        <v>2017</v>
      </c>
      <c r="E256">
        <f t="shared" si="3"/>
        <v>0.27235296140178511</v>
      </c>
    </row>
    <row r="257" spans="1:5" x14ac:dyDescent="0.35">
      <c r="A257" t="s">
        <v>49</v>
      </c>
      <c r="B257" s="1" t="s">
        <v>359</v>
      </c>
      <c r="C257">
        <v>0.12010460000000001</v>
      </c>
      <c r="D257">
        <v>2015</v>
      </c>
      <c r="E257">
        <f t="shared" si="3"/>
        <v>0.26990592307324102</v>
      </c>
    </row>
    <row r="258" spans="1:5" x14ac:dyDescent="0.35">
      <c r="A258" t="s">
        <v>233</v>
      </c>
      <c r="B258" s="1" t="s">
        <v>131</v>
      </c>
      <c r="C258">
        <v>0.1155196</v>
      </c>
      <c r="D258">
        <v>2017</v>
      </c>
      <c r="E258">
        <f t="shared" si="3"/>
        <v>0.25960224896508188</v>
      </c>
    </row>
    <row r="259" spans="1:5" x14ac:dyDescent="0.35">
      <c r="A259" t="s">
        <v>307</v>
      </c>
      <c r="B259" s="1" t="s">
        <v>522</v>
      </c>
      <c r="C259">
        <v>0.1124119</v>
      </c>
      <c r="D259">
        <v>2016</v>
      </c>
      <c r="E259">
        <f t="shared" ref="E259:E273" si="4">IFERROR((C259-MIN(C:C))/(MAX(C:C)-MIN(C:C)),"")</f>
        <v>0.2526184478689148</v>
      </c>
    </row>
    <row r="260" spans="1:5" x14ac:dyDescent="0.35">
      <c r="A260" t="s">
        <v>425</v>
      </c>
      <c r="B260" s="1" t="s">
        <v>259</v>
      </c>
      <c r="C260">
        <v>0.1114589</v>
      </c>
      <c r="D260">
        <v>2019</v>
      </c>
      <c r="E260">
        <f t="shared" si="4"/>
        <v>0.25047681178929088</v>
      </c>
    </row>
    <row r="261" spans="1:5" x14ac:dyDescent="0.35">
      <c r="A261" t="s">
        <v>112</v>
      </c>
      <c r="B261" s="1" t="s">
        <v>314</v>
      </c>
      <c r="C261">
        <v>9.7654400000000002E-2</v>
      </c>
      <c r="D261">
        <v>2015</v>
      </c>
      <c r="E261">
        <f t="shared" si="4"/>
        <v>0.21945455023507432</v>
      </c>
    </row>
    <row r="262" spans="1:5" x14ac:dyDescent="0.35">
      <c r="A262" t="s">
        <v>161</v>
      </c>
      <c r="B262" s="1" t="s">
        <v>426</v>
      </c>
      <c r="C262">
        <v>9.5600100000000007E-2</v>
      </c>
      <c r="D262">
        <v>2018</v>
      </c>
      <c r="E262">
        <f t="shared" si="4"/>
        <v>0.21483800983804244</v>
      </c>
    </row>
    <row r="263" spans="1:5" x14ac:dyDescent="0.35">
      <c r="A263" t="s">
        <v>195</v>
      </c>
      <c r="B263" s="1" t="s">
        <v>497</v>
      </c>
      <c r="C263">
        <v>9.5023700000000003E-2</v>
      </c>
      <c r="D263">
        <v>2019</v>
      </c>
      <c r="E263">
        <f t="shared" si="4"/>
        <v>0.21354269080730243</v>
      </c>
    </row>
    <row r="264" spans="1:5" x14ac:dyDescent="0.35">
      <c r="A264" t="s">
        <v>471</v>
      </c>
      <c r="B264" s="1" t="s">
        <v>376</v>
      </c>
      <c r="C264">
        <v>9.3177999999999997E-2</v>
      </c>
      <c r="D264">
        <v>2018</v>
      </c>
      <c r="E264">
        <f t="shared" si="4"/>
        <v>0.20939492825519132</v>
      </c>
    </row>
    <row r="265" spans="1:5" x14ac:dyDescent="0.35">
      <c r="A265" t="s">
        <v>168</v>
      </c>
      <c r="B265" s="1" t="s">
        <v>406</v>
      </c>
      <c r="C265">
        <v>8.7498599999999996E-2</v>
      </c>
      <c r="D265">
        <v>2016</v>
      </c>
      <c r="E265">
        <f t="shared" si="4"/>
        <v>0.19663185590407267</v>
      </c>
    </row>
    <row r="266" spans="1:5" x14ac:dyDescent="0.35">
      <c r="A266" t="s">
        <v>15</v>
      </c>
      <c r="B266" s="1" t="s">
        <v>424</v>
      </c>
      <c r="C266">
        <v>8.5106399999999999E-2</v>
      </c>
      <c r="D266">
        <v>2015</v>
      </c>
      <c r="E266">
        <f t="shared" si="4"/>
        <v>0.19125596731049835</v>
      </c>
    </row>
    <row r="267" spans="1:5" x14ac:dyDescent="0.35">
      <c r="A267" t="s">
        <v>18</v>
      </c>
      <c r="B267" s="1" t="s">
        <v>357</v>
      </c>
      <c r="C267">
        <v>7.5674999999999992E-2</v>
      </c>
      <c r="D267">
        <v>2019</v>
      </c>
      <c r="E267">
        <f t="shared" si="4"/>
        <v>0.17006118607087081</v>
      </c>
    </row>
    <row r="268" spans="1:5" x14ac:dyDescent="0.35">
      <c r="A268" t="s">
        <v>336</v>
      </c>
      <c r="B268" s="1" t="s">
        <v>81</v>
      </c>
      <c r="C268">
        <v>5.1115899999999999E-2</v>
      </c>
      <c r="D268">
        <v>2017</v>
      </c>
      <c r="E268">
        <f t="shared" si="4"/>
        <v>0.11487057259438423</v>
      </c>
    </row>
    <row r="269" spans="1:5" x14ac:dyDescent="0.35">
      <c r="A269" t="s">
        <v>204</v>
      </c>
      <c r="B269" s="1" t="s">
        <v>199</v>
      </c>
      <c r="C269">
        <v>4.7244099999999997E-2</v>
      </c>
      <c r="D269">
        <v>2012</v>
      </c>
      <c r="E269">
        <f t="shared" si="4"/>
        <v>0.10616964229733504</v>
      </c>
    </row>
    <row r="270" spans="1:5" x14ac:dyDescent="0.35">
      <c r="A270" t="s">
        <v>535</v>
      </c>
      <c r="B270" s="1" t="s">
        <v>77</v>
      </c>
      <c r="C270">
        <v>2.2222200000000001E-2</v>
      </c>
      <c r="D270">
        <v>2016</v>
      </c>
      <c r="E270">
        <f t="shared" si="4"/>
        <v>4.9938998204216802E-2</v>
      </c>
    </row>
    <row r="271" spans="1:5" x14ac:dyDescent="0.35">
      <c r="A271" t="s">
        <v>347</v>
      </c>
      <c r="B271" s="1" t="s">
        <v>286</v>
      </c>
      <c r="C271">
        <v>0</v>
      </c>
      <c r="D271">
        <v>2015</v>
      </c>
      <c r="E271">
        <f t="shared" si="4"/>
        <v>0</v>
      </c>
    </row>
    <row r="272" spans="1:5" x14ac:dyDescent="0.35">
      <c r="A272" t="s">
        <v>84</v>
      </c>
      <c r="B272" s="1" t="s">
        <v>518</v>
      </c>
      <c r="C272">
        <v>0</v>
      </c>
      <c r="D272">
        <v>2019</v>
      </c>
      <c r="E272">
        <f t="shared" si="4"/>
        <v>0</v>
      </c>
    </row>
    <row r="273" spans="1:5" x14ac:dyDescent="0.35">
      <c r="A273" t="s">
        <v>329</v>
      </c>
      <c r="B273" s="1" t="s">
        <v>508</v>
      </c>
      <c r="C273">
        <v>0</v>
      </c>
      <c r="D273">
        <v>2020</v>
      </c>
      <c r="E273">
        <f t="shared" si="4"/>
        <v>0</v>
      </c>
    </row>
  </sheetData>
  <autoFilter ref="A1:D273" xr:uid="{74CB1DC7-0EF4-477C-94FA-E3EBA277BBAC}">
    <sortState xmlns:xlrd2="http://schemas.microsoft.com/office/spreadsheetml/2017/richdata2" ref="A2:D273">
      <sortCondition descending="1" ref="C1:C27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Series - Metadata</vt:lpstr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Miguel, Santiago</dc:creator>
  <cp:lastModifiedBy>Martin Miguel, Santiago</cp:lastModifiedBy>
  <dcterms:created xsi:type="dcterms:W3CDTF">2026-05-12T09:22:57Z</dcterms:created>
  <dcterms:modified xsi:type="dcterms:W3CDTF">2026-05-12T12:23:29Z</dcterms:modified>
</cp:coreProperties>
</file>